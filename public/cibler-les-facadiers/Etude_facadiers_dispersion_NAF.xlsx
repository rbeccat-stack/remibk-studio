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52d13a821e4b482/Bureau/claude-code/etude-facadiers/"/>
    </mc:Choice>
  </mc:AlternateContent>
  <xr:revisionPtr revIDLastSave="0" documentId="115_{D512D2F2-F52D-439A-BFD3-2172DC457A1B}" xr6:coauthVersionLast="47" xr6:coauthVersionMax="47" xr10:uidLastSave="{00000000-0000-0000-0000-000000000000}"/>
  <bookViews>
    <workbookView xWindow="-110" yWindow="-110" windowWidth="19420" windowHeight="10300" xr2:uid="{00000000-000D-0000-FFFF-FFFF00000000}"/>
  </bookViews>
  <sheets>
    <sheet name="Synthèse" sheetId="1" r:id="rId1"/>
    <sheet name="Dispersion NAF" sheetId="2" r:id="rId2"/>
    <sheet name="Test précision NAF" sheetId="9" r:id="rId3"/>
    <sheet name="Méthodologie" sheetId="3" r:id="rId4"/>
    <sheet name="Limites" sheetId="4" r:id="rId5"/>
    <sheet name="Recommandations" sheetId="5" r:id="rId6"/>
    <sheet name="Prospects" sheetId="6" r:id="rId7"/>
    <sheet name="À vérifier et exclus" sheetId="7" r:id="rId8"/>
    <sheet name="Base" sheetId="8" r:id="rId9"/>
  </sheets>
  <definedNames>
    <definedName name="_xlnm._FilterDatabase" localSheetId="7" hidden="1">'À vérifier et exclus'!$A$4:$N$164</definedName>
    <definedName name="_xlnm._FilterDatabase" localSheetId="8" hidden="1">Base!$A$1:$T$626</definedName>
    <definedName name="_xlnm._FilterDatabase" localSheetId="6" hidden="1">Prospects!$A$4:$N$469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4" l="1"/>
  <c r="E9" i="4"/>
  <c r="E8" i="4"/>
  <c r="E7" i="4"/>
  <c r="D22" i="3"/>
  <c r="D21" i="3"/>
  <c r="D20" i="3"/>
  <c r="D19" i="3"/>
  <c r="D18" i="3"/>
  <c r="D17" i="3"/>
  <c r="D13" i="3"/>
  <c r="D12" i="3"/>
  <c r="D11" i="3"/>
  <c r="D10" i="3"/>
  <c r="D9" i="3"/>
  <c r="D8" i="3"/>
  <c r="D14" i="3" s="1"/>
  <c r="D7" i="3"/>
  <c r="F113" i="9"/>
  <c r="F112" i="9"/>
  <c r="F111" i="9"/>
  <c r="F110" i="9"/>
  <c r="F109" i="9"/>
  <c r="I29" i="2"/>
  <c r="H29" i="2"/>
  <c r="G29" i="2"/>
  <c r="F29" i="2"/>
  <c r="C29" i="2"/>
  <c r="I28" i="2"/>
  <c r="H28" i="2"/>
  <c r="G28" i="2"/>
  <c r="F28" i="2"/>
  <c r="C28" i="2"/>
  <c r="I27" i="2"/>
  <c r="H27" i="2"/>
  <c r="G27" i="2"/>
  <c r="F27" i="2"/>
  <c r="C27" i="2"/>
  <c r="I26" i="2"/>
  <c r="H26" i="2"/>
  <c r="G26" i="2"/>
  <c r="F26" i="2"/>
  <c r="C26" i="2"/>
  <c r="I25" i="2"/>
  <c r="H25" i="2"/>
  <c r="G25" i="2"/>
  <c r="F25" i="2"/>
  <c r="C25" i="2"/>
  <c r="I24" i="2"/>
  <c r="H24" i="2"/>
  <c r="G24" i="2"/>
  <c r="F24" i="2"/>
  <c r="C24" i="2"/>
  <c r="I23" i="2"/>
  <c r="H23" i="2"/>
  <c r="G23" i="2"/>
  <c r="F23" i="2"/>
  <c r="C23" i="2"/>
  <c r="I22" i="2"/>
  <c r="H22" i="2"/>
  <c r="G22" i="2"/>
  <c r="F22" i="2"/>
  <c r="C22" i="2"/>
  <c r="I21" i="2"/>
  <c r="H21" i="2"/>
  <c r="G21" i="2"/>
  <c r="F21" i="2"/>
  <c r="C21" i="2"/>
  <c r="I20" i="2"/>
  <c r="H20" i="2"/>
  <c r="G20" i="2"/>
  <c r="F20" i="2"/>
  <c r="C20" i="2"/>
  <c r="I19" i="2"/>
  <c r="H19" i="2"/>
  <c r="G19" i="2"/>
  <c r="F19" i="2"/>
  <c r="C19" i="2"/>
  <c r="I18" i="2"/>
  <c r="H18" i="2"/>
  <c r="G18" i="2"/>
  <c r="F18" i="2"/>
  <c r="C18" i="2"/>
  <c r="I17" i="2"/>
  <c r="H17" i="2"/>
  <c r="G17" i="2"/>
  <c r="F17" i="2"/>
  <c r="C17" i="2"/>
  <c r="I16" i="2"/>
  <c r="H16" i="2"/>
  <c r="G16" i="2"/>
  <c r="F16" i="2"/>
  <c r="C16" i="2"/>
  <c r="I15" i="2"/>
  <c r="H15" i="2"/>
  <c r="G15" i="2"/>
  <c r="F15" i="2"/>
  <c r="C15" i="2"/>
  <c r="I14" i="2"/>
  <c r="H14" i="2"/>
  <c r="G14" i="2"/>
  <c r="F14" i="2"/>
  <c r="C14" i="2"/>
  <c r="I13" i="2"/>
  <c r="H13" i="2"/>
  <c r="G13" i="2"/>
  <c r="F13" i="2"/>
  <c r="C13" i="2"/>
  <c r="I12" i="2"/>
  <c r="H12" i="2"/>
  <c r="G12" i="2"/>
  <c r="F12" i="2"/>
  <c r="C12" i="2"/>
  <c r="I11" i="2"/>
  <c r="H11" i="2"/>
  <c r="G11" i="2"/>
  <c r="F11" i="2"/>
  <c r="C11" i="2"/>
  <c r="I10" i="2"/>
  <c r="H10" i="2"/>
  <c r="G10" i="2"/>
  <c r="F10" i="2"/>
  <c r="C10" i="2"/>
  <c r="I9" i="2"/>
  <c r="H9" i="2"/>
  <c r="G9" i="2"/>
  <c r="F9" i="2"/>
  <c r="C9" i="2"/>
  <c r="I8" i="2"/>
  <c r="H8" i="2"/>
  <c r="G8" i="2"/>
  <c r="F8" i="2"/>
  <c r="C8" i="2"/>
  <c r="I7" i="2"/>
  <c r="H7" i="2"/>
  <c r="G7" i="2"/>
  <c r="F7" i="2"/>
  <c r="C7" i="2"/>
  <c r="B33" i="1"/>
  <c r="B32" i="1"/>
  <c r="B31" i="1"/>
  <c r="B30" i="1"/>
  <c r="B34" i="1" s="1"/>
  <c r="B22" i="1"/>
  <c r="B21" i="1"/>
  <c r="B20" i="1"/>
  <c r="B19" i="1"/>
  <c r="B18" i="1"/>
  <c r="B17" i="1"/>
  <c r="B16" i="1"/>
  <c r="B15" i="1"/>
  <c r="B14" i="1"/>
  <c r="B26" i="1" l="1"/>
  <c r="H30" i="2"/>
  <c r="D23" i="3"/>
  <c r="I30" i="2"/>
  <c r="G30" i="2"/>
  <c r="F30" i="2"/>
  <c r="F115" i="9"/>
  <c r="F114" i="9"/>
  <c r="B4" i="2"/>
  <c r="B23" i="1" s="1"/>
  <c r="C30" i="2"/>
  <c r="D10" i="2" l="1"/>
  <c r="D11" i="2"/>
  <c r="D13" i="2"/>
  <c r="D18" i="2"/>
  <c r="D17" i="2"/>
  <c r="D12" i="2"/>
  <c r="D14" i="2"/>
  <c r="D15" i="2"/>
  <c r="D16" i="2"/>
  <c r="D19" i="2"/>
  <c r="D20" i="2"/>
  <c r="D21" i="2"/>
  <c r="D22" i="2"/>
  <c r="D23" i="2"/>
  <c r="D24" i="2"/>
  <c r="D25" i="2"/>
  <c r="D26" i="2"/>
  <c r="D27" i="2"/>
  <c r="D28" i="2"/>
  <c r="D29" i="2"/>
  <c r="D8" i="2"/>
  <c r="D9" i="2"/>
  <c r="D7" i="2"/>
  <c r="B24" i="1" l="1"/>
  <c r="D30" i="2"/>
  <c r="E7" i="2"/>
  <c r="E8" i="2" s="1"/>
  <c r="E9" i="2" s="1"/>
  <c r="E10" i="2" s="1"/>
  <c r="E11" i="2" s="1"/>
  <c r="E12" i="2" s="1"/>
  <c r="E13" i="2" s="1"/>
  <c r="E14" i="2" s="1"/>
  <c r="E15" i="2" l="1"/>
  <c r="E16" i="2" s="1"/>
  <c r="E17" i="2" s="1"/>
  <c r="E18" i="2" s="1"/>
  <c r="E19" i="2" s="1"/>
  <c r="E20" i="2" s="1"/>
  <c r="E21" i="2" s="1"/>
  <c r="E22" i="2" s="1"/>
  <c r="E23" i="2" s="1"/>
  <c r="E24" i="2" s="1"/>
  <c r="E25" i="2" s="1"/>
  <c r="E26" i="2" s="1"/>
  <c r="E27" i="2" s="1"/>
  <c r="E28" i="2" s="1"/>
  <c r="E29" i="2" s="1"/>
  <c r="B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Étude</author>
  </authors>
  <commentList>
    <comment ref="D5" authorId="0" shapeId="0" xr:uid="{00000000-0006-0000-0200-000001000000}">
      <text>
        <r>
          <rPr>
            <sz val="11"/>
            <color theme="1"/>
            <rFont val="Calibri"/>
            <family val="2"/>
            <scheme val="minor"/>
          </rPr>
          <t>Saisi : nombre d'entreprises uniques renvoyées par l'API le 24/09/2026.</t>
        </r>
      </text>
    </comment>
    <comment ref="D6" authorId="0" shapeId="0" xr:uid="{00000000-0006-0000-0200-000002000000}">
      <text>
        <r>
          <rPr>
            <sz val="11"/>
            <color theme="1"/>
            <rFont val="Calibri"/>
            <family val="2"/>
            <scheme val="minor"/>
          </rPr>
          <t>Saisi : noms retirés par la liste d'exclusion.</t>
        </r>
      </text>
    </comment>
  </commentList>
</comments>
</file>

<file path=xl/sharedStrings.xml><?xml version="1.0" encoding="utf-8"?>
<sst xmlns="http://schemas.openxmlformats.org/spreadsheetml/2006/main" count="18936" uniqueCount="4790">
  <si>
    <t>Façadiers français de 6 à 199 salariés : vérification et dispersion NAF</t>
  </si>
  <si>
    <t>Message clé</t>
  </si>
  <si>
    <t>•  Le statut « actif » du répertoire ne suffit pas : une partie des façadiers confirmés est en liquidation ou en redressement judiciaire d'après le BODACC.</t>
  </si>
  <si>
    <t>Chiffres clés</t>
  </si>
  <si>
    <t>Indicateur</t>
  </si>
  <si>
    <t>Valeur</t>
  </si>
  <si>
    <t>Précision</t>
  </si>
  <si>
    <t>Entreprises extraites (actives, 6 à 199 salariés, mot-clé façade / ravalement / bardage)</t>
  </si>
  <si>
    <t>Saisi : résultat de l'extraction API du 24/09/2026 (393 + 161 + 89 résultats, doublons retirés).</t>
  </si>
  <si>
    <t>Exclues par la liste de mots d'exclusion (nettoyage, conseil…)</t>
  </si>
  <si>
    <t>Saisi : filtre de l'extraction.</t>
  </si>
  <si>
    <t>Entreprises analysées</t>
  </si>
  <si>
    <t>Toutes les lignes de l'onglet Base.</t>
  </si>
  <si>
    <t>Façadiers confirmés</t>
  </si>
  <si>
    <t>Preuve d'une activité façade (voir Méthodologie).</t>
  </si>
  <si>
    <t xml:space="preserve">   dont prospectables (sans alerte juridique)</t>
  </si>
  <si>
    <t>Liste dans l'onglet Prospects.</t>
  </si>
  <si>
    <t xml:space="preserve">   dont en liquidation ou plan de cession</t>
  </si>
  <si>
    <t>Source BODACC.</t>
  </si>
  <si>
    <t xml:space="preserve">   dont en redressement ou sauvegarde récents</t>
  </si>
  <si>
    <t xml:space="preserve">   dont radiés au BODACC</t>
  </si>
  <si>
    <t>Probables (indices sans preuve directe)</t>
  </si>
  <si>
    <t>Douteux (indices d'un autre métier)</t>
  </si>
  <si>
    <t>Hors cible</t>
  </si>
  <si>
    <t>Autre métier, fabricant, bureau d'études, collectivité, commerce…</t>
  </si>
  <si>
    <t>Codes NAF distincts parmi les façadiers confirmés</t>
  </si>
  <si>
    <t>Voir onglet Dispersion NAF.</t>
  </si>
  <si>
    <t>Part du 1er code NAF (43.99C) parmi les confirmés</t>
  </si>
  <si>
    <t>Taux de confirmation parmi les entreprises vérifiées</t>
  </si>
  <si>
    <t>Façadiers confirmés par spécialité</t>
  </si>
  <si>
    <t>Spécialité</t>
  </si>
  <si>
    <t>Nombre</t>
  </si>
  <si>
    <t>Lecture</t>
  </si>
  <si>
    <t>Façadier (ravalement, enduits, ITE, bardage)</t>
  </si>
  <si>
    <t>Couvreur / étancheur faisant du bardage</t>
  </si>
  <si>
    <t>Inclus mais à distinguer : le bardage est une activité secondaire de couvreurs.</t>
  </si>
  <si>
    <t>Façade légère / métallique (murs-rideaux, vêture)</t>
  </si>
  <si>
    <t>Inclus : métier de l'enveloppe, chantiers et clientèle différents.</t>
  </si>
  <si>
    <t>Multi-activité (façade parmi d'autres métiers)</t>
  </si>
  <si>
    <t>Entreprises générales ou peintres faisant aussi de la façade.</t>
  </si>
  <si>
    <t>Total</t>
  </si>
  <si>
    <t>Égal au nombre de façadiers confirmés.</t>
  </si>
  <si>
    <t>Dispersion des façadiers confirmés par code NAF</t>
  </si>
  <si>
    <t>Chaque ligne compte les entreprises classées « Confirmé » dans l'onglet Base (formules).</t>
  </si>
  <si>
    <t>Codes NAF distincts</t>
  </si>
  <si>
    <t>Code NAF</t>
  </si>
  <si>
    <t>Libellé NAF</t>
  </si>
  <si>
    <t>Part</t>
  </si>
  <si>
    <t>Part cumulée</t>
  </si>
  <si>
    <t>Cœur de métier</t>
  </si>
  <si>
    <t>Couvreurs-bardeurs</t>
  </si>
  <si>
    <t>Façade légère</t>
  </si>
  <si>
    <t>Multi-activité</t>
  </si>
  <si>
    <t>43.99C</t>
  </si>
  <si>
    <t>Travaux de maçonnerie générale et gros œuvre de bâtiment</t>
  </si>
  <si>
    <t>43.34Z</t>
  </si>
  <si>
    <t>Travaux de peinture et vitrerie</t>
  </si>
  <si>
    <t>43.29A</t>
  </si>
  <si>
    <t>Travaux d'isolation</t>
  </si>
  <si>
    <t>43.39Z</t>
  </si>
  <si>
    <t>Autres travaux de finition</t>
  </si>
  <si>
    <t>43.99D</t>
  </si>
  <si>
    <t>Autres travaux spécialisés de construction</t>
  </si>
  <si>
    <t>43.99A</t>
  </si>
  <si>
    <t>Travaux d'étanchéification</t>
  </si>
  <si>
    <t>43.91B</t>
  </si>
  <si>
    <t>Travaux de couverture par éléments</t>
  </si>
  <si>
    <t>43.31Z</t>
  </si>
  <si>
    <t>Travaux de plâtrerie</t>
  </si>
  <si>
    <t>43.33Z</t>
  </si>
  <si>
    <t>Travaux de revêtement des sols et des murs</t>
  </si>
  <si>
    <t>43.32A</t>
  </si>
  <si>
    <t>Travaux de menuiserie bois et PVC</t>
  </si>
  <si>
    <t>41.20A</t>
  </si>
  <si>
    <t>Construction de maisons individuelles</t>
  </si>
  <si>
    <t>41.10B</t>
  </si>
  <si>
    <t>Promotion immobilière de bureaux</t>
  </si>
  <si>
    <t>71.12B</t>
  </si>
  <si>
    <t>Ingénierie, études techniques</t>
  </si>
  <si>
    <t>41.20B</t>
  </si>
  <si>
    <t>Construction d'autres bâtiments</t>
  </si>
  <si>
    <t>43.32B</t>
  </si>
  <si>
    <t>Travaux de menuiserie métallique et serrurerie</t>
  </si>
  <si>
    <t>43.99B</t>
  </si>
  <si>
    <t>Travaux de montage de structures métalliques</t>
  </si>
  <si>
    <t>43.91A</t>
  </si>
  <si>
    <t>Travaux de charpente</t>
  </si>
  <si>
    <t>81.21Z</t>
  </si>
  <si>
    <t>Nettoyage courant des bâtiments</t>
  </si>
  <si>
    <t>43.22B</t>
  </si>
  <si>
    <t>Travaux d'installation d'équipements thermiques et de climatisation</t>
  </si>
  <si>
    <t>68.20B</t>
  </si>
  <si>
    <t>Location de terrains et d'autres biens immobiliers</t>
  </si>
  <si>
    <t>23.70Z</t>
  </si>
  <si>
    <t>Taille, façonnage et finissage de pierres</t>
  </si>
  <si>
    <t>43.21A</t>
  </si>
  <si>
    <t>Travaux d'installation électrique dans tous locaux</t>
  </si>
  <si>
    <t>Méthodologie</t>
  </si>
  <si>
    <t>Étape</t>
  </si>
  <si>
    <t>Ce qui est fait</t>
  </si>
  <si>
    <t>Source</t>
  </si>
  <si>
    <t>Résultat (entreprises)</t>
  </si>
  <si>
    <t>1. Extraction</t>
  </si>
  <si>
    <t>API Recherche d'entreprises (recherche-entreprises.api.gouv.fr)</t>
  </si>
  <si>
    <t>2. Exclusions</t>
  </si>
  <si>
    <t>Retrait des noms contenant des mots hors cible (immobilier, nettoyage, conseil, holding…), en mots entiers.</t>
  </si>
  <si>
    <t>Règle de l'étude</t>
  </si>
  <si>
    <t>3. Libellés NAF</t>
  </si>
  <si>
    <t>Ajout des libellés officiels de la nomenclature NAF rév. 2.</t>
  </si>
  <si>
    <t>INSEE</t>
  </si>
  <si>
    <t>4. Vérification automatique</t>
  </si>
  <si>
    <t>Qualification RGE « isolation des murs par l'extérieur » en cours de validité, ou vocabulaire métier explicite sur le site web déclaré à l'ADEME.</t>
  </si>
  <si>
    <t>ADEME, liste des entreprises RGE ; sites web</t>
  </si>
  <si>
    <t>6. Activité déclarée au greffe</t>
  </si>
  <si>
    <t>BODACC (API DILA)</t>
  </si>
  <si>
    <t>7. Procédures collectives</t>
  </si>
  <si>
    <t>8. Non vérifiées</t>
  </si>
  <si>
    <t>—</t>
  </si>
  <si>
    <t>Règles de classement</t>
  </si>
  <si>
    <t>Classement</t>
  </si>
  <si>
    <t>Définition</t>
  </si>
  <si>
    <t>Exemples de preuves</t>
  </si>
  <si>
    <t>Confirmé</t>
  </si>
  <si>
    <t>Au moins une preuve explicite d'une activité façade (ravalement, enduits, ITE, bardage, façade légère).</t>
  </si>
  <si>
    <t>RGE ITE ; site ou fiche décrivant l'activité ; objet social déclaré au greffe.</t>
  </si>
  <si>
    <t>Probable</t>
  </si>
  <si>
    <t>Nom et NAF cohérents, mais aucune source décrivant le métier (annuaires recopiant le registre), ou entreprise non vérifiée.</t>
  </si>
  <si>
    <t>Mot-clé dans le nom + NAF du bâtiment.</t>
  </si>
  <si>
    <t>Douteux</t>
  </si>
  <si>
    <t>Les sources décrivent un autre métier principal, malgré un nom évoquant la façade.</t>
  </si>
  <si>
    <t>Menuiserie, plâtrerie, étanchéité seule, entreprise générale.</t>
  </si>
  <si>
    <t>Hors cible (autre métier)</t>
  </si>
  <si>
    <t>Métier du bâtiment clairement différent.</t>
  </si>
  <si>
    <t>Échafaudagiste, menuisier alu, fabricant, installateur PAC.</t>
  </si>
  <si>
    <t>Hors cible (adjacent)</t>
  </si>
  <si>
    <t>Fabricant, bureau d'études, architecte : lié à la façade mais pas poseur.</t>
  </si>
  <si>
    <t>Hors du bâtiment, holding ou collectivité ; le mot-clé figurait ailleurs que dans l'activité.</t>
  </si>
  <si>
    <t>Restaurant, fleuriste, commune (« opération façades »).</t>
  </si>
  <si>
    <t>Limites de l'étude</t>
  </si>
  <si>
    <t>À lire avant d'utiliser les chiffres. Chaque limite indique son effet sur les résultats.</t>
  </si>
  <si>
    <t>#</t>
  </si>
  <si>
    <t>Limite</t>
  </si>
  <si>
    <t>Description</t>
  </si>
  <si>
    <t>Effet sur les résultats</t>
  </si>
  <si>
    <t>Ampleur</t>
  </si>
  <si>
    <t>Comment la lever</t>
  </si>
  <si>
    <t>Rappel limité au nom</t>
  </si>
  <si>
    <t>Le nombre total de façadiers en France est sous-estimé. La dispersion NAF est mesurée sur cet échantillon, qui peut différer des façadiers sans mot-clé dans le nom.</t>
  </si>
  <si>
    <t>Non mesurable avec cette méthode.</t>
  </si>
  <si>
    <t>Partir de la base RGE ADEME (domaine ITE) et d'annuaires métiers, indépendamment du nom.</t>
  </si>
  <si>
    <t>Vérification incomplète</t>
  </si>
  <si>
    <t>Poursuivre le contrôle web sur les « Probable ».</t>
  </si>
  <si>
    <t>Nature de la preuve</t>
  </si>
  <si>
    <t>Quelques entreprises multi-activités peuvent être surclassées.</t>
  </si>
  <si>
    <t>Entretien téléphonique ou analyse des chantiers réalisés.</t>
  </si>
  <si>
    <t>Effectifs</t>
  </si>
  <si>
    <t>Les effectifs sont des tranches INSEE publiées avec un décalage d'un à deux ans. Certains annuaires affichent des effectifs plus faibles.</t>
  </si>
  <si>
    <t>Quelques entreprises peuvent être aujourd'hui sous 6 salariés.</t>
  </si>
  <si>
    <t>Ponctuel</t>
  </si>
  <si>
    <t>Contrôler l'effectif au moment de la prospection.</t>
  </si>
  <si>
    <t>Définition du façadier</t>
  </si>
  <si>
    <t>Filtrer la colonne Spécialité selon la définition souhaitée.</t>
  </si>
  <si>
    <t>Données datées</t>
  </si>
  <si>
    <t>La situation évolue vite pour les entreprises en procédure.</t>
  </si>
  <si>
    <t>Revérifier le BODACC avant toute campagne.</t>
  </si>
  <si>
    <t>Mots-clés secondaires non utilisés</t>
  </si>
  <si>
    <t>Quelques spécialistes de l'enveloppe sont absents.</t>
  </si>
  <si>
    <t>Relancer l'extraction avec ces mots-clés.</t>
  </si>
  <si>
    <t>Recommandations et prochaines étapes</t>
  </si>
  <si>
    <t>Priorité</t>
  </si>
  <si>
    <t>Action</t>
  </si>
  <si>
    <t>Pourquoi</t>
  </si>
  <si>
    <t>Effort</t>
  </si>
  <si>
    <t>Liste vérifiée, sans alerte juridique.</t>
  </si>
  <si>
    <t>Immédiat</t>
  </si>
  <si>
    <t>Ne pas utiliser le code NAF comme critère de ciblage principal ; s'appuyer sur la qualification RGE ITE et l'activité déclarée.</t>
  </si>
  <si>
    <t>Faible</t>
  </si>
  <si>
    <t>Terminer la vérification des entreprises « Probable » (contrôle web).</t>
  </si>
  <si>
    <t>Porte le nombre de confirmés à sa valeur réelle.</t>
  </si>
  <si>
    <t>Élargir le rappel : extraire toutes les entreprises RGE « isolation des murs par l'extérieur » de 6 à 199 salariés, quel que soit leur nom.</t>
  </si>
  <si>
    <t>Capte les façadiers sans mot-clé dans le nom.</t>
  </si>
  <si>
    <t>Moyen</t>
  </si>
  <si>
    <t>Chiffre le coût d'un ciblage par NAF (faux positifs).</t>
  </si>
  <si>
    <t>Revérifier le BODACC juste avant chaque campagne.</t>
  </si>
  <si>
    <t>Les procédures collectives évoluent vite.</t>
  </si>
  <si>
    <t>Prospects : façadiers confirmés sans alerte juridique</t>
  </si>
  <si>
    <t>Filtrer la colonne Spécialité pour appliquer la définition souhaitée.</t>
  </si>
  <si>
    <t>SIREN</t>
  </si>
  <si>
    <t>Nom</t>
  </si>
  <si>
    <t>Alerte</t>
  </si>
  <si>
    <t>Effectif (salariés)</t>
  </si>
  <si>
    <t>Commune</t>
  </si>
  <si>
    <t>Code postal</t>
  </si>
  <si>
    <t>Département</t>
  </si>
  <si>
    <t>Méthode de vérification</t>
  </si>
  <si>
    <t>Preuve</t>
  </si>
  <si>
    <t>851694190</t>
  </si>
  <si>
    <t>CAVIEUX FACADES</t>
  </si>
  <si>
    <t>6 à 9</t>
  </si>
  <si>
    <t>SAINT-ANDRE-DE-CORCY</t>
  </si>
  <si>
    <t>01390</t>
  </si>
  <si>
    <t>01</t>
  </si>
  <si>
    <t>automatique (RGE ADEME / site web)</t>
  </si>
  <si>
    <t>RGE isolation des murs par l'extérieur (ADEME) ; site web : enduit, facade, ite, ravalement ; mot-clé dans le nom/enseigne ; NAF 43.99C BTP cohérent</t>
  </si>
  <si>
    <t>https://data.ademe.fr/datasets/liste-des-entreprises-rge-2</t>
  </si>
  <si>
    <t>419678396</t>
  </si>
  <si>
    <t>E.R.T.B.I. (ERTBI FACADES ENVIRONNEMENT)</t>
  </si>
  <si>
    <t>CHARNOZ-SUR-AIN</t>
  </si>
  <si>
    <t>01800</t>
  </si>
  <si>
    <t>recherche web (agent IA)</t>
  </si>
  <si>
    <t>échafaudage + travaux de façade extérieure, plâtrerie (multi-activité)</t>
  </si>
  <si>
    <t>https://lyon-entreprises.com/Annuaire/ERTBI-FACADES-ENVIRONNEMENT-20427/coordonnees-caluire-et-cuire.html</t>
  </si>
  <si>
    <t>538058041</t>
  </si>
  <si>
    <t>REIS BARDAGE</t>
  </si>
  <si>
    <t>LA BOISSE</t>
  </si>
  <si>
    <t>01120</t>
  </si>
  <si>
    <t>BODACC (activité déclarée au greffe)</t>
  </si>
  <si>
    <t>activité déclarée : Travaux de couverture et de bardage.</t>
  </si>
  <si>
    <t>https://www.bodacc.fr/ (SIREN 538058041)</t>
  </si>
  <si>
    <t>915208334</t>
  </si>
  <si>
    <t>TECHNO BARDAGE</t>
  </si>
  <si>
    <t>MONTLUEL</t>
  </si>
  <si>
    <t>activité déclarée : couverture et bardage</t>
  </si>
  <si>
    <t>https://www.bodacc.fr/ (SIREN 915208334)</t>
  </si>
  <si>
    <t>828285437</t>
  </si>
  <si>
    <t>CFP TECHNI-FACADES</t>
  </si>
  <si>
    <t>BRUGHEAS</t>
  </si>
  <si>
    <t>03700</t>
  </si>
  <si>
    <t>03</t>
  </si>
  <si>
    <t>RGE isolation des murs par l'extérieur (ADEME) ; mot-clé dans le nom/enseigne ; NAF 43.99C BTP cohérent</t>
  </si>
  <si>
    <t>978246767</t>
  </si>
  <si>
    <t>DK FACADE ITE PEINTURE</t>
  </si>
  <si>
    <t>MANOSQUE</t>
  </si>
  <si>
    <t>04100</t>
  </si>
  <si>
    <t>04</t>
  </si>
  <si>
    <t>ravalement, ITE, peinture</t>
  </si>
  <si>
    <t>https://servicesartisans.fr/services/facadier/manosque/dk-facade-ite-peinture-978246767</t>
  </si>
  <si>
    <t>814514162</t>
  </si>
  <si>
    <t>K 2 (CONCEPT FACADES)</t>
  </si>
  <si>
    <t>20 à 49</t>
  </si>
  <si>
    <t>BIOT</t>
  </si>
  <si>
    <t>06410</t>
  </si>
  <si>
    <t>06</t>
  </si>
  <si>
    <t>enseigne CONCEPT FACADES : ravalement, peinture, ITE ; 20-49 salariés</t>
  </si>
  <si>
    <t>https://annuaire-entreprises.data.gouv.fr/entreprise/814514162</t>
  </si>
  <si>
    <t>847633633</t>
  </si>
  <si>
    <t>SASU BATI PROJECT FACADES</t>
  </si>
  <si>
    <t>ANTIBES</t>
  </si>
  <si>
    <t>06600</t>
  </si>
  <si>
    <t>ravalement / nettoyage de façades (+ négoce carrelage)</t>
  </si>
  <si>
    <t>https://www.pagesjaunes.fr/pros/60786535</t>
  </si>
  <si>
    <t>837629419</t>
  </si>
  <si>
    <t>SILLA FACADES</t>
  </si>
  <si>
    <t>CAGNES-SUR-MER</t>
  </si>
  <si>
    <t>06800</t>
  </si>
  <si>
    <t>travaux de façade : nettoyage, isolation thermique</t>
  </si>
  <si>
    <t>https://www.pagesjaunes.fr/pros/55671292</t>
  </si>
  <si>
    <t>819985979</t>
  </si>
  <si>
    <t>FACADES A.Z.</t>
  </si>
  <si>
    <t>10 à 19</t>
  </si>
  <si>
    <t>SAINT-DIDIER-SOUS-AUBENAS</t>
  </si>
  <si>
    <t>07200</t>
  </si>
  <si>
    <t>07</t>
  </si>
  <si>
    <t>433256237</t>
  </si>
  <si>
    <t>FACADES ARDECHOISES</t>
  </si>
  <si>
    <t>ANNONAY</t>
  </si>
  <si>
    <t>07100</t>
  </si>
  <si>
    <t>RGE isolation des murs par l'extérieur (ADEME) ; site web : enduit, ravalement ; mot-clé dans le nom/enseigne ; NAF 43.99A BTP cohérent</t>
  </si>
  <si>
    <t>798080495</t>
  </si>
  <si>
    <t>SUD ARDECHE FACADES</t>
  </si>
  <si>
    <t>AUBENAS</t>
  </si>
  <si>
    <t>432863348</t>
  </si>
  <si>
    <t>VIVARAIS FACADES ET RENOVATION</t>
  </si>
  <si>
    <t>LACHAPELLE-SOUS-AUBENAS</t>
  </si>
  <si>
    <t>511643827</t>
  </si>
  <si>
    <t>ARIEGE ENDUIT FACADES (AEF)</t>
  </si>
  <si>
    <t>BENAGUES</t>
  </si>
  <si>
    <t>09100</t>
  </si>
  <si>
    <t>09</t>
  </si>
  <si>
    <t>RGE isolation des murs par l'extérieur (ADEME) ; site web : bardage, enduit, facade, facadier, isolation thermique exterieur, ravalement ; mot-clé dans le nom/enseigne ; NAF 43.99D BTP cohérent</t>
  </si>
  <si>
    <t>900135211</t>
  </si>
  <si>
    <t>PRO FACADE ISOLATION</t>
  </si>
  <si>
    <t>SAINT-GIRONS</t>
  </si>
  <si>
    <t>09200</t>
  </si>
  <si>
    <t>isolation ext./int., travaux de façade, peinture</t>
  </si>
  <si>
    <t>https://www.pagesjaunes.fr/pros/62566720</t>
  </si>
  <si>
    <t>789359205</t>
  </si>
  <si>
    <t>BITETTI FACADE</t>
  </si>
  <si>
    <t>VILLACERF</t>
  </si>
  <si>
    <t>10600</t>
  </si>
  <si>
    <t>10</t>
  </si>
  <si>
    <t>enduits de façade, ravalement, maçonnerie</t>
  </si>
  <si>
    <t>https://www.artisans-du-batiment.com/artisan/bitetti-facade/</t>
  </si>
  <si>
    <t>389192949</t>
  </si>
  <si>
    <t>DROUOT RAVALEMENT DE FACADES</t>
  </si>
  <si>
    <t>POUAN-LES-VALLEES</t>
  </si>
  <si>
    <t>10700</t>
  </si>
  <si>
    <t>ravalement de façades, enduits (Weber)</t>
  </si>
  <si>
    <t>https://annuaire-entreprises.data.gouv.fr/entreprise/389192949 (source d'origine hors ligne au 26/09/2026 : https://www.drouot-ravalement.com/ravalementfacades-pouan-les-vallees)</t>
  </si>
  <si>
    <t>319265922</t>
  </si>
  <si>
    <t>LAMBLIN DECORS ET FACADES</t>
  </si>
  <si>
    <t>BREVIANDES</t>
  </si>
  <si>
    <t>10450</t>
  </si>
  <si>
    <t>RGE isolation des murs par l'extérieur (ADEME) ; site web : facade, isolation exterieur, isolation thermique exterieur, ravalement ; mot-clé dans le nom/enseigne ; NAF 43.34Z BTP cohérent</t>
  </si>
  <si>
    <t>878467125</t>
  </si>
  <si>
    <t>ENDUIT FACADE NARBONNAIS (ENDUIT FACADE NARBONNAIS)</t>
  </si>
  <si>
    <t>COURSAN</t>
  </si>
  <si>
    <t>11110</t>
  </si>
  <si>
    <t>11</t>
  </si>
  <si>
    <t>443613559</t>
  </si>
  <si>
    <t>EURL FERCHAL RAVALEMENT</t>
  </si>
  <si>
    <t>MALVES-EN-MINERVOIS</t>
  </si>
  <si>
    <t>11600</t>
  </si>
  <si>
    <t>RGE isolation des murs par l'extérieur (ADEME) ; mot-clé dans le nom/enseigne ; NAF 43.39Z BTP cohérent</t>
  </si>
  <si>
    <t>441446408</t>
  </si>
  <si>
    <t>FACADES D AUJORD HUI</t>
  </si>
  <si>
    <t>LABASTIDE-D'ANJOU</t>
  </si>
  <si>
    <t>11320</t>
  </si>
  <si>
    <t>RGE isolation des murs par l'extérieur (ADEME) ; mot-clé dans le nom/enseigne ; NAF 43.99D BTP cohérent</t>
  </si>
  <si>
    <t>309346310</t>
  </si>
  <si>
    <t>LES RAVALEMENTS 2000</t>
  </si>
  <si>
    <t>CARCASSONNE</t>
  </si>
  <si>
    <t>11000</t>
  </si>
  <si>
    <t>790298558</t>
  </si>
  <si>
    <t>OZBEK FACADES (OZBEK FACADES)</t>
  </si>
  <si>
    <t>ravalement de façades (PagesJaunes), RGE Qualibat</t>
  </si>
  <si>
    <t>https://www.pagesjaunes.fr/pros/54514091</t>
  </si>
  <si>
    <t>891420622</t>
  </si>
  <si>
    <t>EURL I 2 R FACADES</t>
  </si>
  <si>
    <t>SAVIGNAC</t>
  </si>
  <si>
    <t>12200</t>
  </si>
  <si>
    <t>12</t>
  </si>
  <si>
    <t>514936046</t>
  </si>
  <si>
    <t>EURO FACADES SALVAN (EURO FACADES SALVAN)</t>
  </si>
  <si>
    <t>CREISSELS</t>
  </si>
  <si>
    <t>12100</t>
  </si>
  <si>
    <t>RGE isolation des murs par l'extérieur (ADEME) ; site web : enduit, facade, facadier, isolation exterieur, ite, ravalement ; mot-clé dans le nom/enseigne ; NAF 43.99C BTP cohérent</t>
  </si>
  <si>
    <t>517509964</t>
  </si>
  <si>
    <t>ALPILLES FACADES</t>
  </si>
  <si>
    <t>MIRAMAS</t>
  </si>
  <si>
    <t>13140</t>
  </si>
  <si>
    <t>13</t>
  </si>
  <si>
    <t>RGE isolation des murs par l'extérieur (ADEME) ; site web : facade, facadier ; mot-clé dans le nom/enseigne ; NAF 43.99A BTP cohérent</t>
  </si>
  <si>
    <t>839830775</t>
  </si>
  <si>
    <t>BRIZZI FACADES</t>
  </si>
  <si>
    <t>ROQUEVAIRE</t>
  </si>
  <si>
    <t>13360</t>
  </si>
  <si>
    <t>823681432</t>
  </si>
  <si>
    <t>D.F.I DECO, FACADE, ISOLATION</t>
  </si>
  <si>
    <t>LANCON-PROVENCE</t>
  </si>
  <si>
    <t>13680</t>
  </si>
  <si>
    <t>ravalement de façades, ITE, maçonnerie</t>
  </si>
  <si>
    <t>https://www.pagesjaunes.fr/pros/58522379</t>
  </si>
  <si>
    <t>519518807</t>
  </si>
  <si>
    <t>EURL FACADE PRO</t>
  </si>
  <si>
    <t>AUBAGNE</t>
  </si>
  <si>
    <t>13400</t>
  </si>
  <si>
    <t>884361817</t>
  </si>
  <si>
    <t>I.P.F IDRISSI PRO FACADE</t>
  </si>
  <si>
    <t>CHATEAURENARD</t>
  </si>
  <si>
    <t>13160</t>
  </si>
  <si>
    <t>rénovation de façades, peinture/enduits</t>
  </si>
  <si>
    <t>https://www.pagesjaunes.fr/pros/62279084</t>
  </si>
  <si>
    <t>853161982</t>
  </si>
  <si>
    <t>L.B.P MEDITERRANEE FACADES</t>
  </si>
  <si>
    <t>AIX EN PROVENCE</t>
  </si>
  <si>
    <t>13080</t>
  </si>
  <si>
    <t>493598965</t>
  </si>
  <si>
    <t>LA FACADE PROVENCALE (LE SAVOIR FAIRE AU S)</t>
  </si>
  <si>
    <t>MARSEILLE</t>
  </si>
  <si>
    <t>13015</t>
  </si>
  <si>
    <t>RGE isolation des murs par l'extérieur (ADEME) ; mot-clé dans le nom/enseigne ; NAF 43.34Z BTP cohérent</t>
  </si>
  <si>
    <t>420586067</t>
  </si>
  <si>
    <t>MARSEILLE FACADES</t>
  </si>
  <si>
    <t>13010</t>
  </si>
  <si>
    <t>RGE isolation des murs par l'extérieur (ADEME) ; mot-clé dans le nom/enseigne ; NAF 43.33Z BTP cohérent</t>
  </si>
  <si>
    <t>430459016</t>
  </si>
  <si>
    <t>PROVENCE FACADES MEDITERRANEE</t>
  </si>
  <si>
    <t>ROQUEFORT-LA-BEDOULE</t>
  </si>
  <si>
    <t>13830</t>
  </si>
  <si>
    <t>RGE isolation des murs par l'extérieur (ADEME) ; site web : facade, isolation exterieur, isolation thermique par l'exterieur, ite, ravalement ; mot-clé dans le nom/enseigne ; NAF 43.99C BTP cohérent</t>
  </si>
  <si>
    <t>849891528</t>
  </si>
  <si>
    <t>PROVENCE RAVALEMENT PEINTURE</t>
  </si>
  <si>
    <t>13014</t>
  </si>
  <si>
    <t>329934889</t>
  </si>
  <si>
    <t>SOC ISOLATION ET DE PEINTURE (SIP)</t>
  </si>
  <si>
    <t>50 à 99</t>
  </si>
  <si>
    <t>13011</t>
  </si>
  <si>
    <t>RGE isolation des murs par l'extérieur (ADEME) ; NAF 43.34Z BTP cohérent</t>
  </si>
  <si>
    <t>409146180</t>
  </si>
  <si>
    <t>SOCIETE D'ISOLATION ET DE RAVALEMENT ANDRE MOULINET (SIRAM)</t>
  </si>
  <si>
    <t>SANNERVILLE</t>
  </si>
  <si>
    <t>14940</t>
  </si>
  <si>
    <t>14</t>
  </si>
  <si>
    <t>RGE isolation des murs par l'extérieur (ADEME) ; site web : bardage, facade, isolation exterieur, ravalement ; mot-clé dans le nom/enseigne ; NAF 43.32A BTP cohérent</t>
  </si>
  <si>
    <t>342526019</t>
  </si>
  <si>
    <t>CREPIS FACADE CONSTRUCTION (CFC)</t>
  </si>
  <si>
    <t>RUELLE-SUR-TOUVRE</t>
  </si>
  <si>
    <t>16600</t>
  </si>
  <si>
    <t>16</t>
  </si>
  <si>
    <t>RGE isolation des murs par l'extérieur (ADEME) ; site web : enduit, facade, facadier, isolation exterieur, isolation par l'exterieur, ite, ravalement ; mot-clé dans le nom/enseigne ; NAF 43.29A BTP cohérent</t>
  </si>
  <si>
    <t>418778726</t>
  </si>
  <si>
    <t>EURL FACADES SARTORI HERVE (CFC FACADES COGNAC)</t>
  </si>
  <si>
    <t>GENSAC-LA-PALLUE</t>
  </si>
  <si>
    <t>16130</t>
  </si>
  <si>
    <t>419007661</t>
  </si>
  <si>
    <t>ENTREPRISE SUIRE RAVALEMENT PEINTURE</t>
  </si>
  <si>
    <t>THORS</t>
  </si>
  <si>
    <t>17160</t>
  </si>
  <si>
    <t>17</t>
  </si>
  <si>
    <t>522671809</t>
  </si>
  <si>
    <t>I.T.F. ISOLATION TOITURE FACADE</t>
  </si>
  <si>
    <t>JONZAC</t>
  </si>
  <si>
    <t>17500</t>
  </si>
  <si>
    <t>RGE isolation des murs par l'extérieur (ADEME) ; mot-clé dans le nom/enseigne ; NAF 43.29A BTP cohérent</t>
  </si>
  <si>
    <t>797834348</t>
  </si>
  <si>
    <t>S.A.R.L. RAVALEMENTS DE SAINTONGE R.V.S.</t>
  </si>
  <si>
    <t>PONS</t>
  </si>
  <si>
    <t>17800</t>
  </si>
  <si>
    <t>peinture int./ext. dont ravalement de façades (multi-activité peinture)</t>
  </si>
  <si>
    <t>https://www.pagesjaunes.fr/pros/58680817</t>
  </si>
  <si>
    <t>790536361</t>
  </si>
  <si>
    <t>A.R.B FACADES (A.R.B FACADES)</t>
  </si>
  <si>
    <t>NOAILLES</t>
  </si>
  <si>
    <t>19600</t>
  </si>
  <si>
    <t>19</t>
  </si>
  <si>
    <t>842745028</t>
  </si>
  <si>
    <t>BARDAGE EXTERIEUR ISOLATION - EN ABREGE : BEI (BEI)</t>
  </si>
  <si>
    <t>DIJON</t>
  </si>
  <si>
    <t>21000</t>
  </si>
  <si>
    <t>21</t>
  </si>
  <si>
    <t>activité déclarée : Fourniture et pose de tous types de bardage; Couverture et isolation thermique par l'extérieur pour tous bâtiments</t>
  </si>
  <si>
    <t>https://www.bodacc.fr/ (SIREN 842745028)</t>
  </si>
  <si>
    <t>827462490</t>
  </si>
  <si>
    <t>FACADES BOURGOGNE 21</t>
  </si>
  <si>
    <t>CHENOVE</t>
  </si>
  <si>
    <t>21300</t>
  </si>
  <si>
    <t>512687047</t>
  </si>
  <si>
    <t>ISOLATION FACADE MYRAL (I.F.M)</t>
  </si>
  <si>
    <t>IS-SUR-TILLE</t>
  </si>
  <si>
    <t>21120</t>
  </si>
  <si>
    <t>RGE isolation des murs par l'extérieur (ADEME) ; site web : facade, isolation thermique par l'exterieur, ite ; mot-clé dans le nom/enseigne ; NAF 43.29A BTP cohérent</t>
  </si>
  <si>
    <t>903997427</t>
  </si>
  <si>
    <t>NP FACADE</t>
  </si>
  <si>
    <t>ravalement de façades, peinture int./ext.</t>
  </si>
  <si>
    <t>https://www.societe.com/societe/np-facade-903997427.html</t>
  </si>
  <si>
    <t>424757276</t>
  </si>
  <si>
    <t>PEINTURE ISOLATION ENDUIT RAVALEMENT (PIER)</t>
  </si>
  <si>
    <t>SAINT-USAGE</t>
  </si>
  <si>
    <t>21170</t>
  </si>
  <si>
    <t>RGE isolation des murs par l'extérieur (ADEME) ; site web : crepi, enduit, facade, facadier, isolation thermique exterieur, ite, ravalement ; mot-clé dans le nom/enseigne ; NAF 43.39Z BTP cohérent</t>
  </si>
  <si>
    <t>899002505</t>
  </si>
  <si>
    <t>RAVALEMENT PEINTURE ISOLATION 21 (RPI 21) (RPI 21)</t>
  </si>
  <si>
    <t>395297773</t>
  </si>
  <si>
    <t>ARMOR PEINTURE</t>
  </si>
  <si>
    <t>PLELO</t>
  </si>
  <si>
    <t>22170</t>
  </si>
  <si>
    <t>22</t>
  </si>
  <si>
    <t>834288086</t>
  </si>
  <si>
    <t>BARDAGE INDUSTRIEL BRETAGNE</t>
  </si>
  <si>
    <t>MERDRIGNAC</t>
  </si>
  <si>
    <t>22230</t>
  </si>
  <si>
    <t>activité déclarée : tous travaux d'entreprise de bardage, d'étanchéité, d'isolation et de pose de tour d'accès / Gestion de participations et gestion administrative comptable et techniques.</t>
  </si>
  <si>
    <t>https://www.bodacc.fr/ (SIREN 834288086)</t>
  </si>
  <si>
    <t>501818462</t>
  </si>
  <si>
    <t>CINQUIEME FACADE</t>
  </si>
  <si>
    <t>QUESSOY</t>
  </si>
  <si>
    <t>22120</t>
  </si>
  <si>
    <t>RGE isolation des murs par l'extérieur (ADEME) ; mot-clé dans le nom/enseigne ; NAF 43.91B BTP cohérent</t>
  </si>
  <si>
    <t>750080137</t>
  </si>
  <si>
    <t>DB FACADE</t>
  </si>
  <si>
    <t>SAINT-CARREUC</t>
  </si>
  <si>
    <t>22150</t>
  </si>
  <si>
    <t>RGE isolation des murs par l'extérieur (ADEME) ; mot-clé dans le nom/enseigne ; NAF 43.31Z BTP cohérent</t>
  </si>
  <si>
    <t>849408901</t>
  </si>
  <si>
    <t>L'HENORET</t>
  </si>
  <si>
    <t>TREGUEUX</t>
  </si>
  <si>
    <t>22950</t>
  </si>
  <si>
    <t>RGE isolation des murs par l'extérieur (ADEME) ; site web : facade, isolation exterieur, isolation thermique par l'exterieur, ite, ravalement ; NAF 43.99C BTP cohérent</t>
  </si>
  <si>
    <t>878468545</t>
  </si>
  <si>
    <t>LE GUEN PEINTURE</t>
  </si>
  <si>
    <t>RGE isolation des murs par l'extérieur (ADEME) ; site web : facade, isolation exterieur, ravalement ; NAF 43.34Z BTP cohérent</t>
  </si>
  <si>
    <t>827733619</t>
  </si>
  <si>
    <t>M.R FACADES</t>
  </si>
  <si>
    <t>PLAINTEL</t>
  </si>
  <si>
    <t>22940</t>
  </si>
  <si>
    <t>437947237</t>
  </si>
  <si>
    <t>MANUEL DIAS ENTREPRISE DE RAVALEMENT</t>
  </si>
  <si>
    <t>PLEDRAN</t>
  </si>
  <si>
    <t>22960</t>
  </si>
  <si>
    <t>326614823</t>
  </si>
  <si>
    <t>RIVAS</t>
  </si>
  <si>
    <t>RGE isolation des murs par l'extérieur (ADEME) ; site web : enduit, facade, isolation exterieur, ravalement ; NAF 43.99C BTP cohérent</t>
  </si>
  <si>
    <t>380081109</t>
  </si>
  <si>
    <t>SARL PERSON (PERSON PARQUETS - PERSON RENOVATION FACADES ET TOITURES)</t>
  </si>
  <si>
    <t>LANGROLAY-SUR-RANCE</t>
  </si>
  <si>
    <t>22490</t>
  </si>
  <si>
    <t>rénovation de façades et toitures (aérogommage) + parquets, 18 salariés (NAF nettoyage)</t>
  </si>
  <si>
    <t>https://www.mairie.biz/entreprise-person-renovation-facades-et-toitures-38329.html</t>
  </si>
  <si>
    <t>450613773</t>
  </si>
  <si>
    <t>FACADE 24 V.J.</t>
  </si>
  <si>
    <t>LA ROCHE CHALAIS</t>
  </si>
  <si>
    <t>24490</t>
  </si>
  <si>
    <t>24</t>
  </si>
  <si>
    <t>ravalement, enduits, rejointoiement, ITE</t>
  </si>
  <si>
    <t>https://www.ravalementfacade24.fr/</t>
  </si>
  <si>
    <t>443843420</t>
  </si>
  <si>
    <t>TERRIEN FACADES S.A.R.L</t>
  </si>
  <si>
    <t>SAINT-LAURENT-DES-HOMMES</t>
  </si>
  <si>
    <t>24400</t>
  </si>
  <si>
    <t>ravalement, bardage, peinture extérieure</t>
  </si>
  <si>
    <t>https://www.pagesjaunes.fr/pros/02343695</t>
  </si>
  <si>
    <t>504506601</t>
  </si>
  <si>
    <t>FACADES BISONTINES</t>
  </si>
  <si>
    <t>CHATILLON-LE-DUC</t>
  </si>
  <si>
    <t>25870</t>
  </si>
  <si>
    <t>25</t>
  </si>
  <si>
    <t>450853486</t>
  </si>
  <si>
    <t>PREVALET FACADES</t>
  </si>
  <si>
    <t>DOMMARTIN</t>
  </si>
  <si>
    <t>25300</t>
  </si>
  <si>
    <t>RGE isolation des murs par l'extérieur (ADEME) ; site web : crepi, facade, isolation exterieur, isolation par l'exterieur, ravalement ; mot-clé dans le nom/enseigne ; NAF 43.31Z BTP cohérent</t>
  </si>
  <si>
    <t>347570822</t>
  </si>
  <si>
    <t>RAVALEMENT PROJECTION ISOLATION (RPI)</t>
  </si>
  <si>
    <t>AVANNE-AVENEY</t>
  </si>
  <si>
    <t>25720</t>
  </si>
  <si>
    <t>809169311</t>
  </si>
  <si>
    <t>AMELIORA (AMELIORA FACADE)</t>
  </si>
  <si>
    <t>BOURG-LES-VALENCE</t>
  </si>
  <si>
    <t>26500</t>
  </si>
  <si>
    <t>26</t>
  </si>
  <si>
    <t>enseigne AMELIORA FACADE : ravalement, bardage, ITE (RGE)</t>
  </si>
  <si>
    <t>https://www.pagesjaunes.fr/pros/60329978</t>
  </si>
  <si>
    <t>353623887</t>
  </si>
  <si>
    <t>BATIMENTS PEINTURES ISOLATIONS FACADES (BPI FACADES) (BPI FACADES)</t>
  </si>
  <si>
    <t>ROMANS-SUR-ISERE</t>
  </si>
  <si>
    <t>26100</t>
  </si>
  <si>
    <t>RGE isolation des murs par l'extérieur (ADEME) ; site web : facade, facadier, isolation exterieur, isolation par l'exterieur, ite, ravalement ; mot-clé dans le nom/enseigne ; NAF 43.29A BTP cohérent</t>
  </si>
  <si>
    <t>820747830</t>
  </si>
  <si>
    <t>FACADES DES COLLINES (FACADES DES COLLINES)</t>
  </si>
  <si>
    <t>BOURG-DE-PEAGE</t>
  </si>
  <si>
    <t>26300</t>
  </si>
  <si>
    <t>RGE isolation des murs par l'extérieur (ADEME) ; site web : facade, isolation par l'exterieur, ravalement ; mot-clé dans le nom/enseigne ; NAF 43.31Z BTP cohérent</t>
  </si>
  <si>
    <t>832569255</t>
  </si>
  <si>
    <t>GO FACADES</t>
  </si>
  <si>
    <t>ANDANCETTE</t>
  </si>
  <si>
    <t>26140</t>
  </si>
  <si>
    <t>RGE isolation des murs par l'extérieur (ADEME) ; site web : bardage, enduit, facade, facadier, isolation exterieur, ite, ravalement ; mot-clé dans le nom/enseigne ; NAF 43.99C BTP cohérent</t>
  </si>
  <si>
    <t>825294176</t>
  </si>
  <si>
    <t>LES FACADES DU SOLEIL</t>
  </si>
  <si>
    <t>PORTES-LES-VALENCE</t>
  </si>
  <si>
    <t>26800</t>
  </si>
  <si>
    <t>RGE isolation des murs par l'extérieur (ADEME) ; site web : crepi, enduit, facade, facadier, isolation exterieur, isolation par l'exterieur, ite, ravalement ; mot-clé dans le nom/enseigne ; NAF 43.29A BTP cohérent</t>
  </si>
  <si>
    <t>510525702</t>
  </si>
  <si>
    <t>MANENT FACADES V.R.C</t>
  </si>
  <si>
    <t>MONTBOUCHER-SUR-JABRON</t>
  </si>
  <si>
    <t>26740</t>
  </si>
  <si>
    <t>418293031</t>
  </si>
  <si>
    <t>OLLIER FACADES</t>
  </si>
  <si>
    <t>SAINT-DONAT-SUR-L'HERBASSE</t>
  </si>
  <si>
    <t>26260</t>
  </si>
  <si>
    <t>façades : enduits traditionnels et hydrauliques, nettoyage, ITE, peinture ext.</t>
  </si>
  <si>
    <t>https://www.pagesjaunes.fr/pros/08087473</t>
  </si>
  <si>
    <t>499436400</t>
  </si>
  <si>
    <t>SARL D'EXPLOITATION BASAGAC FACADES</t>
  </si>
  <si>
    <t>CHABEUIL</t>
  </si>
  <si>
    <t>26120</t>
  </si>
  <si>
    <t>RGE isolation des murs par l'extérieur (ADEME) ; site web : crepi, enduit, facade, facadier, isolation exterieur, isolation thermique par l'exterieur, ite, ravalement ; mot-clé dans le nom/enseigne ; NAF 43.34Z BTP cohérent</t>
  </si>
  <si>
    <t>500696315</t>
  </si>
  <si>
    <t>SUN FACADES (SUN FACADES - SUN HABITAT)</t>
  </si>
  <si>
    <t>RGE isolation des murs par l'extérieur (ADEME) ; site web : facade, facadier, isolation thermique exterieur, isolation thermique par l'exterieur, ite, ravalement ; mot-clé dans le nom/enseigne ; NAF 43.29A BTP cohérent</t>
  </si>
  <si>
    <t>877864934</t>
  </si>
  <si>
    <t>FACADES CONCEPT</t>
  </si>
  <si>
    <t>VAL-DE-REUIL</t>
  </si>
  <si>
    <t>27100</t>
  </si>
  <si>
    <t>27</t>
  </si>
  <si>
    <t>RGE isolation des murs par l'extérieur (fiche annuaire RGE) ; homonyme CONCEPT FACADE à ne pas confondre</t>
  </si>
  <si>
    <t>https://www.france-artisan.fr/annuaire-rge/entreprise/87786493400030</t>
  </si>
  <si>
    <t>534317037</t>
  </si>
  <si>
    <t>PROTEC FACADE</t>
  </si>
  <si>
    <t>SAINT-PIERRE-LA-GARENNE</t>
  </si>
  <si>
    <t>27600</t>
  </si>
  <si>
    <t>897837720</t>
  </si>
  <si>
    <t>MAD ISO BARDAGE</t>
  </si>
  <si>
    <t>MAINVILLIERS</t>
  </si>
  <si>
    <t>28300</t>
  </si>
  <si>
    <t>28</t>
  </si>
  <si>
    <t>489752865</t>
  </si>
  <si>
    <t>LOPERHET</t>
  </si>
  <si>
    <t>29470</t>
  </si>
  <si>
    <t>29</t>
  </si>
  <si>
    <t>RGE isolation des murs par l'extérieur (ADEME) ; site web : enduit, facade, isolation exterieur, ite, ravalement ; mot-clé dans le nom/enseigne ; NAF 43.39Z BTP cohérent</t>
  </si>
  <si>
    <t>813758810</t>
  </si>
  <si>
    <t>SOCIETE TALOC FABRICE (TALOC PEINTURE)</t>
  </si>
  <si>
    <t>PLOUDALMEZEAU</t>
  </si>
  <si>
    <t>29830</t>
  </si>
  <si>
    <t>peinture + rénovation de façades (Taloc Façades &amp; Peinture)</t>
  </si>
  <si>
    <t>https://taloc-facades-et-peinture.vertikal.fr/</t>
  </si>
  <si>
    <t>440549814</t>
  </si>
  <si>
    <t>EUROPE FACADES</t>
  </si>
  <si>
    <t>AJACCIO</t>
  </si>
  <si>
    <t>20167</t>
  </si>
  <si>
    <t>2A</t>
  </si>
  <si>
    <t>818662223</t>
  </si>
  <si>
    <t>SARCOBAT FACADES</t>
  </si>
  <si>
    <t>SARTENE</t>
  </si>
  <si>
    <t>20100</t>
  </si>
  <si>
    <t>façadier : ravalement, enduits, maçonnerie (Corse-du-Sud)</t>
  </si>
  <si>
    <t>https://annuaire-entreprises.data.gouv.fr/entreprise/818662223 (source d'origine hors ligne au 26/09/2026 : https://www.sarcobat.fr/)</t>
  </si>
  <si>
    <t>890678600</t>
  </si>
  <si>
    <t>LUCCIANA FACADES</t>
  </si>
  <si>
    <t>VESCOVATO</t>
  </si>
  <si>
    <t>20215</t>
  </si>
  <si>
    <t>2B</t>
  </si>
  <si>
    <t>objet social : maçonnerie et rénovation, notamment façades</t>
  </si>
  <si>
    <t>https://www.ravalement-de-facade.com/entreprise/lucciana-facades-890678600/</t>
  </si>
  <si>
    <t>792660813</t>
  </si>
  <si>
    <t>SARL C.V. FACADES</t>
  </si>
  <si>
    <t>BORGO</t>
  </si>
  <si>
    <t>20290</t>
  </si>
  <si>
    <t>objet social : enduits, crépis sur tous bâtiments</t>
  </si>
  <si>
    <t>https://www.pagesjaunes.fr/pros/62142582</t>
  </si>
  <si>
    <t>894351055</t>
  </si>
  <si>
    <t>ART FACADE ENVIRONNEMENT</t>
  </si>
  <si>
    <t>SAINT-GENIES-DE-COMOLAS</t>
  </si>
  <si>
    <t>30150</t>
  </si>
  <si>
    <t>30</t>
  </si>
  <si>
    <t>RGE isolation des murs par l'extérieur (ADEME) ; site web : enduit, facade, isolation exterieur, isolation thermique par l'exterieur, ite, ravalement ; mot-clé dans le nom/enseigne ; NAF 43.99C BTP cohérent</t>
  </si>
  <si>
    <t>448413989</t>
  </si>
  <si>
    <t>EXTREMES FACADES</t>
  </si>
  <si>
    <t>NIMES</t>
  </si>
  <si>
    <t>30900</t>
  </si>
  <si>
    <t>RGE isolation des murs par l'extérieur (ADEME) ; site web : facade, facadier, isolation par l'exterieur, isolation thermique par l'exterieur, ite, ravalement ; mot-clé dans le nom/enseigne ; NAF 43.34Z BTP cohérent</t>
  </si>
  <si>
    <t>484282744</t>
  </si>
  <si>
    <t>FACADES CHAARANE (FACADES CHAARANE)</t>
  </si>
  <si>
    <t>VAUVERT</t>
  </si>
  <si>
    <t>30600</t>
  </si>
  <si>
    <t>448445940</t>
  </si>
  <si>
    <t>FACADES LANGUEDOCIENNES LAASRI (TOUS TRAVAUX DE FACADES, ENDUIT MONOCOUCHE, RAVALEMENT TRADITIONNEL, T)</t>
  </si>
  <si>
    <t>UCHAUD</t>
  </si>
  <si>
    <t>30620</t>
  </si>
  <si>
    <t>RGE isolation des murs par l'extérieur (ADEME) ; site web : bardage, facade, facadier, isolation exterieur, ite, ravalement ; mot-clé dans le nom/enseigne ; NAF 43.99C BTP cohérent</t>
  </si>
  <si>
    <t>828476929</t>
  </si>
  <si>
    <t>GARD FACADES</t>
  </si>
  <si>
    <t>BAGNOLS-SUR-CEZE</t>
  </si>
  <si>
    <t>30200</t>
  </si>
  <si>
    <t>ravalement de façades (nettoyage, fissures, peinture)</t>
  </si>
  <si>
    <t>https://www.pagesjaunes.fr/pros/57129310</t>
  </si>
  <si>
    <t>815225693</t>
  </si>
  <si>
    <t>LG FACADES</t>
  </si>
  <si>
    <t>SAINT-CHAPTES</t>
  </si>
  <si>
    <t>30190</t>
  </si>
  <si>
    <t>443431614</t>
  </si>
  <si>
    <t>RD21 RAVALEMENT DECORATION</t>
  </si>
  <si>
    <t>RGE isolation des murs par l'extérieur (ADEME) ; site web : crepi, enduit, facade, isolation exterieur, ite, ravalement ; mot-clé dans le nom/enseigne ; NAF 43.99C BTP cohérent</t>
  </si>
  <si>
    <t>539606475</t>
  </si>
  <si>
    <t>SAS ETUDE TECHNIQUE ET REALISATION DES FACADES</t>
  </si>
  <si>
    <t>site web : enduit, facade, ite, ravalement ; mot-clé dans le nom/enseigne ; NAF 43.99C BTP cohérent</t>
  </si>
  <si>
    <t>http://www.etr-facades.fr</t>
  </si>
  <si>
    <t>484480546</t>
  </si>
  <si>
    <t>TRENQUIER FACADES ISOLATION (TRENQUIER FACADES ISOLATION)</t>
  </si>
  <si>
    <t>SAINT-HILAIRE-DE-BRETHMAS</t>
  </si>
  <si>
    <t>30560</t>
  </si>
  <si>
    <t>812422194</t>
  </si>
  <si>
    <t>COS FACADES</t>
  </si>
  <si>
    <t>SAINT-ALBAN</t>
  </si>
  <si>
    <t>31140</t>
  </si>
  <si>
    <t>31</t>
  </si>
  <si>
    <t>811117258</t>
  </si>
  <si>
    <t>ISO SUD FACADES (ISO SUD FACADES)</t>
  </si>
  <si>
    <t>CUGNAUX</t>
  </si>
  <si>
    <t>31270</t>
  </si>
  <si>
    <t>revêtements de façade, ITE, peinture, plâtre</t>
  </si>
  <si>
    <t>https://www.pagesjaunes.fr/pros/57398749</t>
  </si>
  <si>
    <t>534840640</t>
  </si>
  <si>
    <t>LUSO FACADES</t>
  </si>
  <si>
    <t>839332517</t>
  </si>
  <si>
    <t>LV FACADES &amp; RENOVATION</t>
  </si>
  <si>
    <t>L'UNION</t>
  </si>
  <si>
    <t>31240</t>
  </si>
  <si>
    <t>RGE isolation des murs par l'extérieur (ADEME) ; site web : enduit, facade, ravalement ; mot-clé dans le nom/enseigne ; NAF 43.39Z BTP cohérent</t>
  </si>
  <si>
    <t>882715519</t>
  </si>
  <si>
    <t>SAM FACADE</t>
  </si>
  <si>
    <t>COLOMIERS</t>
  </si>
  <si>
    <t>31770</t>
  </si>
  <si>
    <t>RGE isolation des murs par l'extérieur (ADEME) ; site web : enduit, facade, facadier, isolation thermique exterieur, isolation thermique par l'exterieur, ravalement ; mot-clé dans le nom/enseigne ; NAF 43.34Z BTP cohérent</t>
  </si>
  <si>
    <t>821403615</t>
  </si>
  <si>
    <t>SARL LA FACADE GARONNAISE (LFG)</t>
  </si>
  <si>
    <t>SEYSSES</t>
  </si>
  <si>
    <t>31600</t>
  </si>
  <si>
    <t>objet social : enduits de façade, revêtements ; ravalement (PagesJaunes)</t>
  </si>
  <si>
    <t>https://www.pagesjaunes.fr/pros/54557095</t>
  </si>
  <si>
    <t>818853053</t>
  </si>
  <si>
    <t>SL FACADES</t>
  </si>
  <si>
    <t>recherche web + BODACC</t>
  </si>
  <si>
    <t>sources = annuaires uniquement ; site sl-renovation.fr non vérifié ; activité déclarée au greffe : Ravalement, enduits de façades, maçonnerie, couverture et charpente</t>
  </si>
  <si>
    <t>https://www.bodacc.fr/ (SIREN 818853053)</t>
  </si>
  <si>
    <t>829880939</t>
  </si>
  <si>
    <t>TECHNIC FACADES (TECHNIC FACADES)</t>
  </si>
  <si>
    <t>REVEL</t>
  </si>
  <si>
    <t>31250</t>
  </si>
  <si>
    <t>803301043</t>
  </si>
  <si>
    <t>AZEVEDO BATI FACADES</t>
  </si>
  <si>
    <t>BIGANOS</t>
  </si>
  <si>
    <t>33380</t>
  </si>
  <si>
    <t>33</t>
  </si>
  <si>
    <t>objet social : application d'enduits de façade + plâtrerie</t>
  </si>
  <si>
    <t>https://www.pappers.fr/entreprise/azevedo-bati-facades-803301043</t>
  </si>
  <si>
    <t>821844289</t>
  </si>
  <si>
    <t>BFR LITTORAL (BATIMENT FACADE RAVALEMENT LITTORAL)</t>
  </si>
  <si>
    <t>SAINT-GERMAIN-DU-PUCH</t>
  </si>
  <si>
    <t>33750</t>
  </si>
  <si>
    <t>ravalement, bardage bois/métal, parement pierre, enduits, ITE ; 20-49 salariés</t>
  </si>
  <si>
    <t>https://devis-isolation-gratuit.fr/nouvelle-aquitaine/gironde/saint-germain-du-puch-33750/bfr-littoral</t>
  </si>
  <si>
    <t>381439827</t>
  </si>
  <si>
    <t>SOUSA FACADES</t>
  </si>
  <si>
    <t>BORDEAUX</t>
  </si>
  <si>
    <t>33300</t>
  </si>
  <si>
    <t>revêtements muraux, enduits de façade</t>
  </si>
  <si>
    <t>https://www.ravalement-de-facade.com/entreprise/sousa-facades-381439827/</t>
  </si>
  <si>
    <t>952917441</t>
  </si>
  <si>
    <t>ABD FACADE</t>
  </si>
  <si>
    <t>CLERMONT-L'HERAULT</t>
  </si>
  <si>
    <t>34800</t>
  </si>
  <si>
    <t>34</t>
  </si>
  <si>
    <t>849147707</t>
  </si>
  <si>
    <t>ANG FACADE</t>
  </si>
  <si>
    <t>GIGEAN</t>
  </si>
  <si>
    <t>34770</t>
  </si>
  <si>
    <t>909968802</t>
  </si>
  <si>
    <t>CDS HABITAT (TRAVAUX DE PEINTURE ET RAVALEMENT DE FACADES, MACONNERIE, CARRELAGE, R)</t>
  </si>
  <si>
    <t>aucune source web ; nom commercial déclaré « travaux de peinture et ravalement de façades, maçonnerie » ; activité déclarée au greffe : travaux de peinture et ravalement de façades, maçonnerie, carrelage, revêtements de sols et pose de plaques de plâtres. - travaux de peinture et ravalement de faïades, maïonnerie, carrelage, revïtements de sols et pose de plaques de plïtres.</t>
  </si>
  <si>
    <t>https://www.bodacc.fr/ (SIREN 909968802)</t>
  </si>
  <si>
    <t>815141908</t>
  </si>
  <si>
    <t>ETANCHEITE TOITURE BARDAGE</t>
  </si>
  <si>
    <t>LUNEL</t>
  </si>
  <si>
    <t>34400</t>
  </si>
  <si>
    <t>activité déclarée : tous travaux de bardage d'étanchéité et de toitures, achat et vente de tous biens mobiliers ou immobiliers. Représentant en France d'entreprises étrangères dans le domaine transport terrestre. / tous travaux de bardage d'étanchéité et de toitures, achat et vente de tous biens mobiliers ou immobiliers.</t>
  </si>
  <si>
    <t>https://www.bodacc.fr/ (SIREN 815141908)</t>
  </si>
  <si>
    <t>829808237</t>
  </si>
  <si>
    <t>FACADES FDN (FACADES FDN SASU)</t>
  </si>
  <si>
    <t>LIGNAN-SUR-ORB</t>
  </si>
  <si>
    <t>34490</t>
  </si>
  <si>
    <t>477830483</t>
  </si>
  <si>
    <t>FACADES TURQUOISES</t>
  </si>
  <si>
    <t>MARSEILLAN</t>
  </si>
  <si>
    <t>34340</t>
  </si>
  <si>
    <t>ravalement, ITE, rejointoiement, peinture de façade</t>
  </si>
  <si>
    <t>https://www.pagesjaunes.fr/pros/06753150</t>
  </si>
  <si>
    <t>379869167</t>
  </si>
  <si>
    <t>FRANCE FACADES</t>
  </si>
  <si>
    <t>SAINT-JUST</t>
  </si>
  <si>
    <t>492037106</t>
  </si>
  <si>
    <t>KOURTEL FACADE</t>
  </si>
  <si>
    <t>façadier depuis 1975 : enduits, finitions, rénovation de façade</t>
  </si>
  <si>
    <t>https://www.kourtel-facades.fr/</t>
  </si>
  <si>
    <t>828929323</t>
  </si>
  <si>
    <t>L.C.P. RAVALEMENT (L.C.P. RAVALEMENT)</t>
  </si>
  <si>
    <t>VENDRES</t>
  </si>
  <si>
    <t>34350</t>
  </si>
  <si>
    <t>RGE isolation des murs par l'extérieur (ADEME) ; site web : facade, ravalement ; mot-clé dans le nom/enseigne ; NAF 43.34Z BTP cohérent</t>
  </si>
  <si>
    <t>750456212</t>
  </si>
  <si>
    <t>LDB FACADES</t>
  </si>
  <si>
    <t>MONTPELLIER</t>
  </si>
  <si>
    <t>34080</t>
  </si>
  <si>
    <t>504640772</t>
  </si>
  <si>
    <t>MIDI ETANCHEITE FACADE</t>
  </si>
  <si>
    <t>LATTES</t>
  </si>
  <si>
    <t>34970</t>
  </si>
  <si>
    <t>RGE isolation des murs par l'extérieur (ADEME) ; site web : enduit, facade, facadier, ite, ravalement ; mot-clé dans le nom/enseigne ; NAF 43.99A BTP cohérent</t>
  </si>
  <si>
    <t>442971636</t>
  </si>
  <si>
    <t>MULTI FACADES</t>
  </si>
  <si>
    <t>34000</t>
  </si>
  <si>
    <t>907730493</t>
  </si>
  <si>
    <t>P.S. FACADES</t>
  </si>
  <si>
    <t>MARSILLARGUES</t>
  </si>
  <si>
    <t>34590</t>
  </si>
  <si>
    <t>enduits de façade, ravalement (neuf/rénovation)</t>
  </si>
  <si>
    <t>https://www.pagesjaunes.fr/pros/61877115</t>
  </si>
  <si>
    <t>814749388</t>
  </si>
  <si>
    <t>RENOV FACADES 34</t>
  </si>
  <si>
    <t>MONTARNAUD</t>
  </si>
  <si>
    <t>34570</t>
  </si>
  <si>
    <t>342122611</t>
  </si>
  <si>
    <t>SARL J.C. FACADES</t>
  </si>
  <si>
    <t>CASTELNAU-LE-LEZ</t>
  </si>
  <si>
    <t>34170</t>
  </si>
  <si>
    <t>ravalement, imperméabilisation, traitement de fissures</t>
  </si>
  <si>
    <t>https://www.jcfacades.fr/</t>
  </si>
  <si>
    <t>811135797</t>
  </si>
  <si>
    <t>SB FACADE (SB FACADE)</t>
  </si>
  <si>
    <t>BEZIERS</t>
  </si>
  <si>
    <t>34500</t>
  </si>
  <si>
    <t>façades, maçonnerie, bardage, peinture, isolation (annuaire)</t>
  </si>
  <si>
    <t>https://fr.kompass.com/c/sb-facade/fra012680/</t>
  </si>
  <si>
    <t>809799786</t>
  </si>
  <si>
    <t>TECHNIQUE FACADE</t>
  </si>
  <si>
    <t>SAINT-JEAN-DE-VEDAS</t>
  </si>
  <si>
    <t>34430</t>
  </si>
  <si>
    <t>890329410</t>
  </si>
  <si>
    <t>TOP FACADE</t>
  </si>
  <si>
    <t>34070</t>
  </si>
  <si>
    <t>314911249</t>
  </si>
  <si>
    <t>BLANDIN FACADES</t>
  </si>
  <si>
    <t>GUIPRY-MESSAC</t>
  </si>
  <si>
    <t>35480</t>
  </si>
  <si>
    <t>35</t>
  </si>
  <si>
    <t>RGE isolation des murs par l'extérieur (ADEME) ; site web : enduit, facade, isolation exterieur, ite, ravalement ; mot-clé dans le nom/enseigne ; NAF 43.34Z BTP cohérent</t>
  </si>
  <si>
    <t>888785193</t>
  </si>
  <si>
    <t>GRACIO RAVALEMENT (GRACIO RAVALEMENT)</t>
  </si>
  <si>
    <t>FOUGERES</t>
  </si>
  <si>
    <t>35300</t>
  </si>
  <si>
    <t>481970200</t>
  </si>
  <si>
    <t>GROSSET RAVALEMENT</t>
  </si>
  <si>
    <t>BOISGERVILLY</t>
  </si>
  <si>
    <t>35360</t>
  </si>
  <si>
    <t>ravalement, enduits, rejointoiement</t>
  </si>
  <si>
    <t>https://grosset-ravalement.artizo.fr/</t>
  </si>
  <si>
    <t>429958895</t>
  </si>
  <si>
    <t>L. CHIRON RAVALEMENT</t>
  </si>
  <si>
    <t>AVAILLES-SUR-SEICHE</t>
  </si>
  <si>
    <t>35130</t>
  </si>
  <si>
    <t>831736244</t>
  </si>
  <si>
    <t>LA PETITE MACONNERIE RENNAISE RAVALEMENT (LA PETITE MACONNERIE RENNAISE RAVALEMENT)</t>
  </si>
  <si>
    <t>LE RHEU</t>
  </si>
  <si>
    <t>35650</t>
  </si>
  <si>
    <t>activité déclarée : travaux de maçonnerie, béton armé, ravalement, rénovation et tous travaux de bâtiment.</t>
  </si>
  <si>
    <t>https://www.bodacc.fr/ (SIREN 831736244)</t>
  </si>
  <si>
    <t>839325081</t>
  </si>
  <si>
    <t>LECOMTE FACADES (LECOMTE FACADES)</t>
  </si>
  <si>
    <t>RENNES</t>
  </si>
  <si>
    <t>35700</t>
  </si>
  <si>
    <t>rénovation de façades, ITE, peinture — copropriétés, HLM</t>
  </si>
  <si>
    <t>https://lecomte-facades.fr/</t>
  </si>
  <si>
    <t>451224976</t>
  </si>
  <si>
    <t>MAKDAD RAVALEMENT</t>
  </si>
  <si>
    <t>BREAL-SOUS-MONTFORT</t>
  </si>
  <si>
    <t>35310</t>
  </si>
  <si>
    <t>enduits, ravalement (RGE)</t>
  </si>
  <si>
    <t>https://annuaire-entreprises.data.gouv.fr/entreprise/451224976 (source d'origine hors ligne au 26/09/2026 : https://makdad-ravalement.isoletamaison.fr/)</t>
  </si>
  <si>
    <t>348083023</t>
  </si>
  <si>
    <t>ROSE RAVALEMENT</t>
  </si>
  <si>
    <t>SAINT-GILLES</t>
  </si>
  <si>
    <t>35590</t>
  </si>
  <si>
    <t>façades neuf/rénovation, ITE, nettoyage, hydrofuge (RGE)</t>
  </si>
  <si>
    <t>https://www.rose-ravalement-35.fr/</t>
  </si>
  <si>
    <t>797550753</t>
  </si>
  <si>
    <t>LES FACADES DE TOURAINE (LES FACADES DE TOURAINE)</t>
  </si>
  <si>
    <t>CHARGE</t>
  </si>
  <si>
    <t>37530</t>
  </si>
  <si>
    <t>37</t>
  </si>
  <si>
    <t>ravalement par projection, peinture extérieure, ITE</t>
  </si>
  <si>
    <t>https://www.pagesjaunes.fr/pros/56446083</t>
  </si>
  <si>
    <t>851357707</t>
  </si>
  <si>
    <t>PEREIRA RAVALEMENT (PEREIRA RAVALEMENT)</t>
  </si>
  <si>
    <t>CHISSEAUX</t>
  </si>
  <si>
    <t>37150</t>
  </si>
  <si>
    <t>ravalement, peinture, isolation</t>
  </si>
  <si>
    <t>https://annuaire-entreprises.data.gouv.fr/entreprise/851357707 (source d'origine hors ligne au 26/09/2026 : https://www.hellowork.com/fr-fr/emplois/63048313.html)</t>
  </si>
  <si>
    <t>809178940</t>
  </si>
  <si>
    <t>TEX BARDAGE</t>
  </si>
  <si>
    <t>LA VILLE-AUX-DAMES</t>
  </si>
  <si>
    <t>37700</t>
  </si>
  <si>
    <t>activité déclarée : Travaux de réalisation de bardages de toitures</t>
  </si>
  <si>
    <t>https://www.bodacc.fr/ (SIREN 809178940)</t>
  </si>
  <si>
    <t>423329200</t>
  </si>
  <si>
    <t>VIF FACADES (V.I.F. - RAVAL-ISO)</t>
  </si>
  <si>
    <t>VEIGNE</t>
  </si>
  <si>
    <t>37250</t>
  </si>
  <si>
    <t>843713785</t>
  </si>
  <si>
    <t>CALACA ALVES FACADES</t>
  </si>
  <si>
    <t>VOIRON</t>
  </si>
  <si>
    <t>38500</t>
  </si>
  <si>
    <t>38</t>
  </si>
  <si>
    <t>rénovation et isolation de façades</t>
  </si>
  <si>
    <t>https://www.pagesjaunes.fr/pros/50951559</t>
  </si>
  <si>
    <t>798907523</t>
  </si>
  <si>
    <t>D.E. FACADE</t>
  </si>
  <si>
    <t>SAINT-MAURICE-L'EXIL</t>
  </si>
  <si>
    <t>38550</t>
  </si>
  <si>
    <t>750806408</t>
  </si>
  <si>
    <t>ENES FACADES ET CONSTRUCTIONS</t>
  </si>
  <si>
    <t>RGE isolation des murs par l'extérieur (ADEME) ; site web : facade, facadier, isolation exterieur, isolation thermique par l'exterieur, ite, ravalement ; mot-clé dans le nom/enseigne ; NAF 43.99C BTP cohérent</t>
  </si>
  <si>
    <t>379684277</t>
  </si>
  <si>
    <t>ERDIK PEINTURE (AB FACADES)</t>
  </si>
  <si>
    <t>SALAISE-SUR-SANNE</t>
  </si>
  <si>
    <t>38150</t>
  </si>
  <si>
    <t>511814014</t>
  </si>
  <si>
    <t>ETS ISIK FACADES (ETS ISIK FACADES)</t>
  </si>
  <si>
    <t>LA TOUR-DU-PIN</t>
  </si>
  <si>
    <t>38110</t>
  </si>
  <si>
    <t>793600800</t>
  </si>
  <si>
    <t>ISECOBA (ISOLATION ETANCHEITE COUVERTURE BARDAGE)</t>
  </si>
  <si>
    <t>CHASSE-SUR-RHONE</t>
  </si>
  <si>
    <t>38670</t>
  </si>
  <si>
    <t>activité déclarée : Activité de travaux d'étanchéification, de bâtiment extérieur, couverture, travaux de bâtiment intérieur, peinture, pose de placo, bardage métallique, étanchéité, serrurie, métallerie, murs rideaux aluminium, serrurerie aluminium et toutes activités se rapprochant des bâtiments industriels.</t>
  </si>
  <si>
    <t>https://www.bodacc.fr/ (SIREN 793600800)</t>
  </si>
  <si>
    <t>844392803</t>
  </si>
  <si>
    <t>KAYDOK FACADES</t>
  </si>
  <si>
    <t>434142758</t>
  </si>
  <si>
    <t>LA MAITRISE DE VOS FACADES MDF</t>
  </si>
  <si>
    <t>VIF</t>
  </si>
  <si>
    <t>38450</t>
  </si>
  <si>
    <t>RGE isolation des murs par l'extérieur (ADEME) ; site web : bardage, facade, isolation thermique exterieur, ravalement ; mot-clé dans le nom/enseigne ; NAF 43.34Z BTP cohérent</t>
  </si>
  <si>
    <t>441252715</t>
  </si>
  <si>
    <t>MIPE FACADES (MIP) (MIP)</t>
  </si>
  <si>
    <t>SAINT-MARTIN-D'HERES</t>
  </si>
  <si>
    <t>38400</t>
  </si>
  <si>
    <t>rénovation de façade, ITE, peinture (RGE Qualibat)</t>
  </si>
  <si>
    <t>https://www.mip-facades.com/</t>
  </si>
  <si>
    <t>800412124</t>
  </si>
  <si>
    <t>ORAKCI FACADE</t>
  </si>
  <si>
    <t>AUBERIVES-SUR-VAREZE</t>
  </si>
  <si>
    <t>RGE isolation des murs par l'extérieur (ADEME) ; site web : enduit, facade, facadier, isolation par l'exterieur, isolation thermique par l'exterieur, ite, ravalement ; mot-clé dans le nom/enseigne ; NAF 43.99D BTP cohérent</t>
  </si>
  <si>
    <t>500315270</t>
  </si>
  <si>
    <t>ORDEK FACADES</t>
  </si>
  <si>
    <t>520984782</t>
  </si>
  <si>
    <t>OZ (RENAGE FACADE)</t>
  </si>
  <si>
    <t>RIVES</t>
  </si>
  <si>
    <t>38140</t>
  </si>
  <si>
    <t>RGE isolation des murs par l'extérieur (ADEME) ; site web : crepi, enduit, facade, isolation exterieur, ravalement ; mot-clé dans le nom/enseigne ; NAF 43.34Z BTP cohérent</t>
  </si>
  <si>
    <t>823151253</t>
  </si>
  <si>
    <t>RHONE ALPES FACADE ISOLATION</t>
  </si>
  <si>
    <t>NIVOLAS-VERMELLE</t>
  </si>
  <si>
    <t>38300</t>
  </si>
  <si>
    <t>ravalement de façades (objet social)</t>
  </si>
  <si>
    <t>https://www.pagesjaunes.fr/pros/51403532</t>
  </si>
  <si>
    <t>797696986</t>
  </si>
  <si>
    <t>S'TETIK FACADES</t>
  </si>
  <si>
    <t>ROUSSILLON</t>
  </si>
  <si>
    <t>RGE isolation des murs par l'extérieur (ADEME) ; mot-clé dans le nom/enseigne ; NAF 43.99A BTP cohérent</t>
  </si>
  <si>
    <t>490887346</t>
  </si>
  <si>
    <t>SARL ALAGOZ FACADE</t>
  </si>
  <si>
    <t>RGE isolation des murs par l'extérieur (ADEME) ; site web : enduit, facade, facadier, isolation exterieur, ravalement ; mot-clé dans le nom/enseigne ; NAF 43.99C BTP cohérent</t>
  </si>
  <si>
    <t>451603179</t>
  </si>
  <si>
    <t>SUD EST FACADES (S E F)</t>
  </si>
  <si>
    <t>AGNIN</t>
  </si>
  <si>
    <t>RGE isolation des murs par l'extérieur (ADEME) ; site web : enduit, facade, ite, ravalement ; mot-clé dans le nom/enseigne ; NAF 43.34Z BTP cohérent</t>
  </si>
  <si>
    <t>451539894</t>
  </si>
  <si>
    <t>T.E.I. TOITURE-ETANCH-ISOLAT-BARDAGE (TEI)</t>
  </si>
  <si>
    <t>PAJAY</t>
  </si>
  <si>
    <t>38260</t>
  </si>
  <si>
    <t>activité déclarée : Travaux d'étanchéité, d'isolation, de couverture et de revêtements de façades.</t>
  </si>
  <si>
    <t>https://www.bodacc.fr/ (SIREN 451539894)</t>
  </si>
  <si>
    <t>949077713</t>
  </si>
  <si>
    <t>TATIN COUVERTURE ZINGUERIE ISOLATION BARDAGE (TATIN)</t>
  </si>
  <si>
    <t>site web : bardage ; mot-clé dans le nom/enseigne ; NAF 43.91B BTP cohérent</t>
  </si>
  <si>
    <t>http://www.tatin-couverture.fr</t>
  </si>
  <si>
    <t>847639028</t>
  </si>
  <si>
    <t>VERCORS FACADES</t>
  </si>
  <si>
    <t>DOMENE</t>
  </si>
  <si>
    <t>38420</t>
  </si>
  <si>
    <t>RGE isolation des murs par l'extérieur (ADEME) ; site web : enduit, facade, isolation thermique exterieur, ite, ravalement ; mot-clé dans le nom/enseigne ; NAF 43.29A BTP cohérent</t>
  </si>
  <si>
    <t>835348012</t>
  </si>
  <si>
    <t>FACADES ET TRADITION (GENC - NUR FACADES)</t>
  </si>
  <si>
    <t>FREBUANS</t>
  </si>
  <si>
    <t>39570</t>
  </si>
  <si>
    <t>39</t>
  </si>
  <si>
    <t>532890282</t>
  </si>
  <si>
    <t>FACADES SUD OUEST (FACADES SUD-OUEST) (FSO)</t>
  </si>
  <si>
    <t>ONDRES</t>
  </si>
  <si>
    <t>40440</t>
  </si>
  <si>
    <t>40</t>
  </si>
  <si>
    <t>525281515</t>
  </si>
  <si>
    <t>RAVALEMENT DAX (RAVALEMENT DAX) (RV DAX)</t>
  </si>
  <si>
    <t>SAINT-PAUL-LES-DAX</t>
  </si>
  <si>
    <t>40990</t>
  </si>
  <si>
    <t>413852914</t>
  </si>
  <si>
    <t>FACADE 41</t>
  </si>
  <si>
    <t>SAINT-SULPICE-DE-POMMERAY</t>
  </si>
  <si>
    <t>41000</t>
  </si>
  <si>
    <t>41</t>
  </si>
  <si>
    <t>RGE isolation des murs par l'extérieur (ADEME) ; site web : bardage, facade, facadier, ravalement ; mot-clé dans le nom/enseigne ; NAF 43.34Z BTP cohérent</t>
  </si>
  <si>
    <t>429328685</t>
  </si>
  <si>
    <t>LOIR ET CHER RAVALEMENT</t>
  </si>
  <si>
    <t>BILLY</t>
  </si>
  <si>
    <t>41130</t>
  </si>
  <si>
    <t>381278167</t>
  </si>
  <si>
    <t>VENDOME RAVALEMENTS</t>
  </si>
  <si>
    <t>SAINT-OUEN</t>
  </si>
  <si>
    <t>41100</t>
  </si>
  <si>
    <t>842581175</t>
  </si>
  <si>
    <t>A B N FACADES (A B N FACADES)</t>
  </si>
  <si>
    <t>LA FOUILLOUSE</t>
  </si>
  <si>
    <t>42480</t>
  </si>
  <si>
    <t>42</t>
  </si>
  <si>
    <t>820235976</t>
  </si>
  <si>
    <t>BARTOLOMEO MACONNERIE FACADE (BMF) (BMF)</t>
  </si>
  <si>
    <t>ABOEN</t>
  </si>
  <si>
    <t>42380</t>
  </si>
  <si>
    <t>maçonnerie et façades (tailleur de pierre)</t>
  </si>
  <si>
    <t>https://www.club-eehf.fr/bmf/</t>
  </si>
  <si>
    <t>793474370</t>
  </si>
  <si>
    <t>BFD FACADES</t>
  </si>
  <si>
    <t>MONTBRISON</t>
  </si>
  <si>
    <t>42600</t>
  </si>
  <si>
    <t>509547626</t>
  </si>
  <si>
    <t>CAN FACADES</t>
  </si>
  <si>
    <t>RIVE-DE-GIER</t>
  </si>
  <si>
    <t>42800</t>
  </si>
  <si>
    <t>RGE isolation des murs par l'extérieur (ADEME) ; site web : bardage, facade, ravalement ; mot-clé dans le nom/enseigne ; NAF 43.99D BTP cohérent</t>
  </si>
  <si>
    <t>502935844</t>
  </si>
  <si>
    <t>FACADE STEPHANOISE (FACADE STEPHANOISE)</t>
  </si>
  <si>
    <t>FRAISSES</t>
  </si>
  <si>
    <t>42490</t>
  </si>
  <si>
    <t>891683294</t>
  </si>
  <si>
    <t>FACADES 42</t>
  </si>
  <si>
    <t>SAINT-ETIENNE</t>
  </si>
  <si>
    <t>42000</t>
  </si>
  <si>
    <t>421511650</t>
  </si>
  <si>
    <t>FOREZIENNE DE FACADE</t>
  </si>
  <si>
    <t>RGE isolation des murs par l'extérieur (ADEME) ; site web : enduit, facade, isolation exterieur, isolation thermique exterieur, isolation thermique par l'exterieur, ite, ravalement ; mot-clé dans le nom/enseigne ; NAF 43.34Z BTP cohérent</t>
  </si>
  <si>
    <t>810097618</t>
  </si>
  <si>
    <t>ISOLATION FACADE FOREZIENNE (ISOLATION FACADE FOREZIENNE (I.F.F.)) (I.F.F.)</t>
  </si>
  <si>
    <t>SURY-LE-COMTAL</t>
  </si>
  <si>
    <t>42450</t>
  </si>
  <si>
    <t>853870350</t>
  </si>
  <si>
    <t>MJR FACADE</t>
  </si>
  <si>
    <t>SAINT-LAURENT-LA-CONCHE</t>
  </si>
  <si>
    <t>42210</t>
  </si>
  <si>
    <t>RGE isolation des murs par l'extérieur (ADEME) ; mot-clé dans le nom/enseigne ; NAF 41.10B adjacent (promoteur)</t>
  </si>
  <si>
    <t>830577730</t>
  </si>
  <si>
    <t>REVETECH FACADES</t>
  </si>
  <si>
    <t>42100</t>
  </si>
  <si>
    <t>788561314</t>
  </si>
  <si>
    <t>RHONE LOIRE ETANCHEITE COUVERTURE BARDAGE - RLECB</t>
  </si>
  <si>
    <t>activité déclarée : tous travaux par tous procédés et moyens techniques, de l'étanchéité, l'isolation, la couverture et le bardage, ainsi que la réalisation de tous travaux dans le bâtiment.</t>
  </si>
  <si>
    <t>https://www.bodacc.fr/ (SIREN 788561314)</t>
  </si>
  <si>
    <t>511927451</t>
  </si>
  <si>
    <t>UCAR FACADES</t>
  </si>
  <si>
    <t>SAINT-CHAMOND</t>
  </si>
  <si>
    <t>42400</t>
  </si>
  <si>
    <t>RGE isolation des murs par l'extérieur (ADEME) ; site web : crepi, enduit, facade, facadier, isolation exterieur, ravalement ; mot-clé dans le nom/enseigne ; NAF 43.99D BTP cohérent</t>
  </si>
  <si>
    <t>412729147</t>
  </si>
  <si>
    <t>AVENIR FACADES</t>
  </si>
  <si>
    <t>BEAUZAC</t>
  </si>
  <si>
    <t>43590</t>
  </si>
  <si>
    <t>43</t>
  </si>
  <si>
    <t>515052975</t>
  </si>
  <si>
    <t>BATI FACADES 43 (BF 43)</t>
  </si>
  <si>
    <t>LE PUY-EN-VELAY</t>
  </si>
  <si>
    <t>43000</t>
  </si>
  <si>
    <t>RGE isolation des murs par l'extérieur (ADEME) ; site web : bardage, enduit, facade, isolation exterieur, ite, ravalement ; mot-clé dans le nom/enseigne ; NAF 43.99D BTP cohérent</t>
  </si>
  <si>
    <t>382332229</t>
  </si>
  <si>
    <t>ARENATIO</t>
  </si>
  <si>
    <t>SAINT-ANDRE-DES-EAUX</t>
  </si>
  <si>
    <t>44117</t>
  </si>
  <si>
    <t>44</t>
  </si>
  <si>
    <t>RGE isolation des murs par l'extérieur (ADEME) ; site web : enduit, facade, isolation exterieur, isolation thermique exterieur, ite, ravalement ; mot-clé dans le nom/enseigne ; NAF 43.99C BTP cohérent</t>
  </si>
  <si>
    <t>522783638</t>
  </si>
  <si>
    <t>ARTS ET FACADES</t>
  </si>
  <si>
    <t>SAINT-HERBLAIN</t>
  </si>
  <si>
    <t>44800</t>
  </si>
  <si>
    <t>ravalement de façades, ITE, peinture</t>
  </si>
  <si>
    <t>https://annuaire-entreprises.data.gouv.fr/entreprise/522783638 (source d'origine hors ligne au 26/09/2026 : https://www.artsetfacades-ravalements-44.fr/)</t>
  </si>
  <si>
    <t>441089133</t>
  </si>
  <si>
    <t>ATL RAVALEMENT (ATL RAVALEMENT)</t>
  </si>
  <si>
    <t>SAINTE-LUCE-SUR-LOIRE</t>
  </si>
  <si>
    <t>44980</t>
  </si>
  <si>
    <t>peinture, enduits, ravalement de façades (multi-activité peinture)</t>
  </si>
  <si>
    <t>https://atl-ravalement.fr/</t>
  </si>
  <si>
    <t>478976962</t>
  </si>
  <si>
    <t>ATOUT RENOV' (ISOL'FACADE)</t>
  </si>
  <si>
    <t>LA CHEVROLIERE</t>
  </si>
  <si>
    <t>44118</t>
  </si>
  <si>
    <t>RGE isolation des murs par l'extérieur (ADEME) ; site web : bardage, enduit, facade, isolation exterieur, isolation thermique exterieur, ite, ravalement, veture ; mot-clé dans le nom/enseigne ; NAF 43.32A BTP cohérent</t>
  </si>
  <si>
    <t>414263970</t>
  </si>
  <si>
    <t>BATH RAVALEMENT</t>
  </si>
  <si>
    <t>LE BIGNON</t>
  </si>
  <si>
    <t>44140</t>
  </si>
  <si>
    <t>enduits de façade, ITE, rénovation (RGE)</t>
  </si>
  <si>
    <t>https://www.bathravalement.com/</t>
  </si>
  <si>
    <t>514125939</t>
  </si>
  <si>
    <t>CARVALHO FACADES</t>
  </si>
  <si>
    <t>VUE</t>
  </si>
  <si>
    <t>44640</t>
  </si>
  <si>
    <t>travaux de façade : enduits, isolation, parement pierre</t>
  </si>
  <si>
    <t>https://www.pagesjaunes.fr/pros/51453117</t>
  </si>
  <si>
    <t>812186500</t>
  </si>
  <si>
    <t>DESIGN RAVALEMENT</t>
  </si>
  <si>
    <t>ST-PHILBERT-DE-GRAND-LIEU</t>
  </si>
  <si>
    <t>44310</t>
  </si>
  <si>
    <t>enduits extérieurs, ravalement, pierre, ITE</t>
  </si>
  <si>
    <t>https://www.pagesjaunes.fr/pros/56147795</t>
  </si>
  <si>
    <t>530114743</t>
  </si>
  <si>
    <t>OUEST DEC'OR (NANTES FACADES)</t>
  </si>
  <si>
    <t>VERTOU</t>
  </si>
  <si>
    <t>44120</t>
  </si>
  <si>
    <t>enseigne NANTES FACADES : peinture, façades, ITE (multi-activité), 20 salariés</t>
  </si>
  <si>
    <t>https://www.pagesjaunes.fr/pros/53116693</t>
  </si>
  <si>
    <t>882056997</t>
  </si>
  <si>
    <t>OUEST TOITURE BARDAGE ETANCHEITE - OTBE</t>
  </si>
  <si>
    <t>CARQUEFOU</t>
  </si>
  <si>
    <t>44470</t>
  </si>
  <si>
    <t>513318782</t>
  </si>
  <si>
    <t>P.E.R.A.L. (PEINTURE ENDUIT RAVALEMENT)</t>
  </si>
  <si>
    <t>activité déclarée : Peinture en bâtiment (peintures intérieures et extérieures), décoration, revêtements muraux, enduit pelliculaire, nettoyage de toits.</t>
  </si>
  <si>
    <t>https://www.bodacc.fr/ (SIREN 513318782)</t>
  </si>
  <si>
    <t>818277360</t>
  </si>
  <si>
    <t>STYL RAVALEMENT</t>
  </si>
  <si>
    <t>NANTES</t>
  </si>
  <si>
    <t>44100</t>
  </si>
  <si>
    <t>ravalement, enduits (neuf/rénovation), 10-19 salariés</t>
  </si>
  <si>
    <t>https://styl-ravalement.webnode.fr/</t>
  </si>
  <si>
    <t>751152505</t>
  </si>
  <si>
    <t>SUD LOIRE ISOL' FACADE</t>
  </si>
  <si>
    <t>LA CHAPELLE-HEULIN</t>
  </si>
  <si>
    <t>44330</t>
  </si>
  <si>
    <t>842326548</t>
  </si>
  <si>
    <t>TECHNI FACADES</t>
  </si>
  <si>
    <t>COUERON</t>
  </si>
  <si>
    <t>44220</t>
  </si>
  <si>
    <t>nettoyage de façade, ITE, rénovation de façade</t>
  </si>
  <si>
    <t>https://www.pappers.fr/entreprise/techni-facades-842326548</t>
  </si>
  <si>
    <t>353713548</t>
  </si>
  <si>
    <t>VINCENT ETANCHEITE</t>
  </si>
  <si>
    <t>LES SORINIERES</t>
  </si>
  <si>
    <t>44840</t>
  </si>
  <si>
    <t>893983544</t>
  </si>
  <si>
    <t>AR FACADES (AR FACADES)</t>
  </si>
  <si>
    <t>SARAN</t>
  </si>
  <si>
    <t>45770</t>
  </si>
  <si>
    <t>45</t>
  </si>
  <si>
    <t>RGE isolation des murs par l'extérieur (ADEME) ; site web : facade, isolation exterieur, isolation par l'exterieur, ravalement ; mot-clé dans le nom/enseigne ; NAF 71.12B adjacent (bureau d'études)</t>
  </si>
  <si>
    <t>452091234</t>
  </si>
  <si>
    <t>ART.CA.VIC ETANCHEITE BARDAGE SARL (ART CA VIC)</t>
  </si>
  <si>
    <t>SAINT-JEAN-LE-BLANC</t>
  </si>
  <si>
    <t>45650</t>
  </si>
  <si>
    <t>RGE isolation des murs par l'extérieur (ADEME) ; site web : bardage, facade ; mot-clé dans le nom/enseigne ; NAF 43.99A BTP cohérent</t>
  </si>
  <si>
    <t>810098889</t>
  </si>
  <si>
    <t>FACADES 45</t>
  </si>
  <si>
    <t>SAINT-MAURICE-SUR-FESSARD</t>
  </si>
  <si>
    <t>45700</t>
  </si>
  <si>
    <t>495088080</t>
  </si>
  <si>
    <t>GATINAIS RAVALEMENT (GATINAIS RAVALEMENT)</t>
  </si>
  <si>
    <t>NOGENT-SUR-VERNISSON</t>
  </si>
  <si>
    <t>45290</t>
  </si>
  <si>
    <t>810456111</t>
  </si>
  <si>
    <t>LOIRET BARDAGE</t>
  </si>
  <si>
    <t>activité déclarée : Bardage, bacs acier</t>
  </si>
  <si>
    <t>https://www.bodacc.fr/ (SIREN 810456111)</t>
  </si>
  <si>
    <t>833927973</t>
  </si>
  <si>
    <t>NEWS RAVALEMENT</t>
  </si>
  <si>
    <t>CHALETTE-SUR-LOING</t>
  </si>
  <si>
    <t>45120</t>
  </si>
  <si>
    <t>ravalement, rénovation de façades, ITE</t>
  </si>
  <si>
    <t>https://annuaire.petitesaffiches.fr/macon/news-ravalement-83392797300010/</t>
  </si>
  <si>
    <t>792199234</t>
  </si>
  <si>
    <t>SARL BARDAGE FACADE INDUSTRIEL (B.F.I)</t>
  </si>
  <si>
    <t>bardage industriel, étanchéité, couverture</t>
  </si>
  <si>
    <t>https://annuaire-toiture-france.fr/entreprises/sarl-bardage-facade-industriel-b-f-i-792199234/</t>
  </si>
  <si>
    <t>791767452</t>
  </si>
  <si>
    <t>SARL CORE BARDAGE</t>
  </si>
  <si>
    <t>FONTENAY-SUR-LOING</t>
  </si>
  <si>
    <t>45210</t>
  </si>
  <si>
    <t>activité déclarée : Maçonnerie, couverture, bardage, ravalements de façade, isolation intérieur et extérieur, peinture intérieur et extérieur, carrelage. / Etanchéité, couverture, bardage.</t>
  </si>
  <si>
    <t>https://www.bodacc.fr/ (SIREN 791767452)</t>
  </si>
  <si>
    <t>444901664</t>
  </si>
  <si>
    <t>SMP RAVALEMENT SARL</t>
  </si>
  <si>
    <t>FLEURY-LES-AUBRAIS</t>
  </si>
  <si>
    <t>45400</t>
  </si>
  <si>
    <t>440830669</t>
  </si>
  <si>
    <t>NOUVELLES TECHNIQUES DE FACADES (NTF)</t>
  </si>
  <si>
    <t>MARMANDE</t>
  </si>
  <si>
    <t>47200</t>
  </si>
  <si>
    <t>47</t>
  </si>
  <si>
    <t>335294542</t>
  </si>
  <si>
    <t>SOCIETE ENDUITS FACADES IMPERMEABLES (SEFI)</t>
  </si>
  <si>
    <t>SEYCHES</t>
  </si>
  <si>
    <t>47350</t>
  </si>
  <si>
    <t>414138222</t>
  </si>
  <si>
    <t>COSTA RAVALEMENT</t>
  </si>
  <si>
    <t>MENDE</t>
  </si>
  <si>
    <t>48000</t>
  </si>
  <si>
    <t>48</t>
  </si>
  <si>
    <t>rénovation de façades, ITE</t>
  </si>
  <si>
    <t>https://www.pagesjaunes.fr/pros/02806133</t>
  </si>
  <si>
    <t>439405614</t>
  </si>
  <si>
    <t>MEYNADIER FACADES</t>
  </si>
  <si>
    <t>498711167</t>
  </si>
  <si>
    <t>SARL FACADE PLUS</t>
  </si>
  <si>
    <t>CHASTEL-NOUVEL</t>
  </si>
  <si>
    <t>503954059</t>
  </si>
  <si>
    <t>VAZ RAVALEMENT</t>
  </si>
  <si>
    <t>489502336</t>
  </si>
  <si>
    <t>BOISSEAU RAVALEMENT</t>
  </si>
  <si>
    <t>MAUGES-SUR-LOIRE</t>
  </si>
  <si>
    <t>49110</t>
  </si>
  <si>
    <t>49</t>
  </si>
  <si>
    <t>525305223</t>
  </si>
  <si>
    <t>ISO-FACADES</t>
  </si>
  <si>
    <t>CHOLET</t>
  </si>
  <si>
    <t>49300</t>
  </si>
  <si>
    <t>453709172</t>
  </si>
  <si>
    <t>M.T.R. FACADE (M.T.R. FACADE)</t>
  </si>
  <si>
    <t>LA SEGUINIERE</t>
  </si>
  <si>
    <t>49280</t>
  </si>
  <si>
    <t>347737959</t>
  </si>
  <si>
    <t>PROTECFA(PROTECTION TECHNIQUE DE FACADE)</t>
  </si>
  <si>
    <t>BEAUCOUZE</t>
  </si>
  <si>
    <t>49070</t>
  </si>
  <si>
    <t>RGE isolation des murs par l'extérieur (ADEME) ; site web : facade, isolation exterieur, isolation par l'exterieur, isolation thermique exterieur, isolation thermique par l'exterieur, ite, ravalement ; mot-clé dans le nom/enseigne ; NAF 43.34Z BTP cohérent</t>
  </si>
  <si>
    <t>801338534</t>
  </si>
  <si>
    <t>VD FACADES</t>
  </si>
  <si>
    <t>SEVREMOINE</t>
  </si>
  <si>
    <t>49230</t>
  </si>
  <si>
    <t>878636521</t>
  </si>
  <si>
    <t>A.R.T FACADE</t>
  </si>
  <si>
    <t>SAINT-LO</t>
  </si>
  <si>
    <t>50000</t>
  </si>
  <si>
    <t>50</t>
  </si>
  <si>
    <t>peinture façade et toiture, ITE, rénovation (multi-activité)</t>
  </si>
  <si>
    <t>https://www.pagesjaunes.fr/pros/60114521</t>
  </si>
  <si>
    <t>908611346</t>
  </si>
  <si>
    <t>LAUD FACADES</t>
  </si>
  <si>
    <t>AGNEAUX</t>
  </si>
  <si>
    <t>50180</t>
  </si>
  <si>
    <t>RGE isolation des murs par l'extérieur (ADEME) ; mot-clé dans le nom/enseigne ; NAF 41.20B BTP cohérent</t>
  </si>
  <si>
    <t>823587217</t>
  </si>
  <si>
    <t>ART FACADE 51</t>
  </si>
  <si>
    <t>MUIZON</t>
  </si>
  <si>
    <t>51140</t>
  </si>
  <si>
    <t>51</t>
  </si>
  <si>
    <t>RGE isolation des murs par l'extérieur (ADEME) ; mot-clé dans le nom/enseigne ; NAF 43.22B adjacent (autre corps d'état BTP)</t>
  </si>
  <si>
    <t>422996306</t>
  </si>
  <si>
    <t>CRF CARVALHEIRO RAVALEMENT DE FACADES</t>
  </si>
  <si>
    <t>TAISSY</t>
  </si>
  <si>
    <t>51500</t>
  </si>
  <si>
    <t>ravalement, ITE, rejointoiement, imperméabilisation</t>
  </si>
  <si>
    <t>https://www.carvalheiro-et-fils.fr/</t>
  </si>
  <si>
    <t>790310569</t>
  </si>
  <si>
    <t>FACADE EVOLUTION</t>
  </si>
  <si>
    <t>REIMS</t>
  </si>
  <si>
    <t>51100</t>
  </si>
  <si>
    <t>507667715</t>
  </si>
  <si>
    <t>GL RAVALEMENT</t>
  </si>
  <si>
    <t>CHALONS-EN-CHAMPAGNE</t>
  </si>
  <si>
    <t>51000</t>
  </si>
  <si>
    <t>510144314</t>
  </si>
  <si>
    <t>GLAVIER FACADE</t>
  </si>
  <si>
    <t>DORMANS</t>
  </si>
  <si>
    <t>51700</t>
  </si>
  <si>
    <t>façadier (annuaire ravalement, exposant catégorie façade BatiExpo)</t>
  </si>
  <si>
    <t>https://www.batiexpo.com/salon-chalons-en-champagne/facade/glavier_eurl-41118</t>
  </si>
  <si>
    <t>423080670</t>
  </si>
  <si>
    <t>HABITAT &amp; TRADITION (SCOR / FACADES ET TRADITIONS / FERMETURES ET TRADITIONS)</t>
  </si>
  <si>
    <t>CORMONTREUIL</t>
  </si>
  <si>
    <t>51350</t>
  </si>
  <si>
    <t>RGE isolation des murs par l'extérieur (ADEME) ; site web : crepi, enduit, facade, facadier, isolation exterieur, ite, ravalement ; mot-clé dans le nom/enseigne ; NAF 43.33Z BTP cohérent</t>
  </si>
  <si>
    <t>794395848</t>
  </si>
  <si>
    <t>M.C. RAVALEMENT</t>
  </si>
  <si>
    <t>EPERNAY</t>
  </si>
  <si>
    <t>51200</t>
  </si>
  <si>
    <t>façadier + maçonnerie + rénovation</t>
  </si>
  <si>
    <t>https://www.mc-ravalement.com/facade/</t>
  </si>
  <si>
    <t>797697133</t>
  </si>
  <si>
    <t>MONSIEUR FACADES (MONSIEUR ISOLATION) (MR FACADES)</t>
  </si>
  <si>
    <t>SAINT-BRICE-COURCELLES</t>
  </si>
  <si>
    <t>51370</t>
  </si>
  <si>
    <t>RGE isolation des murs par l'extérieur (ADEME) ; site web : facade, ravalement ; mot-clé dans le nom/enseigne ; NAF 43.99C BTP cohérent</t>
  </si>
  <si>
    <t>503872137</t>
  </si>
  <si>
    <t>ODS FACADE</t>
  </si>
  <si>
    <t>AMBONNAY</t>
  </si>
  <si>
    <t>51150</t>
  </si>
  <si>
    <t>809836570</t>
  </si>
  <si>
    <t>POL BARDAGE</t>
  </si>
  <si>
    <t>SOUAIN-PERTHES-LES-HURLUS</t>
  </si>
  <si>
    <t>51600</t>
  </si>
  <si>
    <t>activité déclarée : Pose de bardage / pose de bardage.</t>
  </si>
  <si>
    <t>https://www.bodacc.fr/ (SIREN 809836570)</t>
  </si>
  <si>
    <t>520184573</t>
  </si>
  <si>
    <t>RAVALEMENT MAMEDE COSTA PERE ET FILS (RMC PERE ET FILS)</t>
  </si>
  <si>
    <t>ISLES-SUR-SUIPPE</t>
  </si>
  <si>
    <t>51110</t>
  </si>
  <si>
    <t>RGE isolation des murs par l'extérieur (ADEME) ; site web : enduit, facade, isolation exterieur, isolation par l'exterieur, ravalement ; mot-clé dans le nom/enseigne ; NAF 43.99C BTP cohérent</t>
  </si>
  <si>
    <t>501681084</t>
  </si>
  <si>
    <t>ROC FACADE</t>
  </si>
  <si>
    <t>ORMES</t>
  </si>
  <si>
    <t>RGE isolation des murs par l'extérieur (ADEME) ; site web : facade, ravalement ; mot-clé dans le nom/enseigne ; NAF 41.20A BTP cohérent</t>
  </si>
  <si>
    <t>382946226</t>
  </si>
  <si>
    <t>S M RAVALEMENT</t>
  </si>
  <si>
    <t>887548550</t>
  </si>
  <si>
    <t>MAYENNE RAVALEMENT</t>
  </si>
  <si>
    <t>LAVAL</t>
  </si>
  <si>
    <t>53000</t>
  </si>
  <si>
    <t>53</t>
  </si>
  <si>
    <t>objet social : ravalement, peinture, rénovation</t>
  </si>
  <si>
    <t>https://www.pappers.fr/entreprise/mayenne-ravalement-887548550</t>
  </si>
  <si>
    <t>953375425</t>
  </si>
  <si>
    <t>STYL' RAVALEMENT</t>
  </si>
  <si>
    <t>FORCE</t>
  </si>
  <si>
    <t>53260</t>
  </si>
  <si>
    <t>objet social : ravalement de façades, maçonnerie</t>
  </si>
  <si>
    <t>https://www.pagesjaunes.fr/pros/64313887</t>
  </si>
  <si>
    <t>392823738</t>
  </si>
  <si>
    <t>AB SAHIN FACADES</t>
  </si>
  <si>
    <t>LUNEVILLE</t>
  </si>
  <si>
    <t>[NON-DIFFUSIBLE]</t>
  </si>
  <si>
    <t>54</t>
  </si>
  <si>
    <t>RGE isolation des murs par l'extérieur (ADEME) ; site web : crepi, enduit, facade, ravalement ; mot-clé dans le nom/enseigne ; NAF 43.99C BTP cohérent</t>
  </si>
  <si>
    <t>434555801</t>
  </si>
  <si>
    <t>AZIZ SAHIN RAVALEMENT (@ SAHIN RAVALEMENT)</t>
  </si>
  <si>
    <t>CHANTEHEUX</t>
  </si>
  <si>
    <t>54300</t>
  </si>
  <si>
    <t>RGE isolation des murs par l'extérieur (ADEME) ; site web : enduit, ravalement ; mot-clé dans le nom/enseigne ; NAF 43.39Z BTP cohérent</t>
  </si>
  <si>
    <t>450491188</t>
  </si>
  <si>
    <t>BELL FACADES</t>
  </si>
  <si>
    <t>RGE isolation des murs par l'extérieur (ADEME) ; site web : facade, facadier, isolation exterieur, isolation thermique exterieur, ravalement ; mot-clé dans le nom/enseigne ; NAF 43.99C BTP cohérent</t>
  </si>
  <si>
    <t>852667534</t>
  </si>
  <si>
    <t>NOVA FACADES</t>
  </si>
  <si>
    <t>HOUDEMONT</t>
  </si>
  <si>
    <t>54180</t>
  </si>
  <si>
    <t>491845350</t>
  </si>
  <si>
    <t>SULUGMAN OZUDOGRU (NORD EST RAVALEMENT)</t>
  </si>
  <si>
    <t>NANCY</t>
  </si>
  <si>
    <t>54000</t>
  </si>
  <si>
    <t>RGE isolation des murs par l'extérieur (ADEME) ; site web : bardage, enduit, facade, isolation exterieur, isolation thermique exterieur, isolation thermique par l'exterieur, ite, ravalement ; mot-clé dans le nom/enseigne ; NAF 43.99C BTP cohérent</t>
  </si>
  <si>
    <t>517280087</t>
  </si>
  <si>
    <t>S I M C O (SIMCO ET FACADE PROJECTION D ENDUIT)</t>
  </si>
  <si>
    <t>ANCERVILLE</t>
  </si>
  <si>
    <t>55170</t>
  </si>
  <si>
    <t>55</t>
  </si>
  <si>
    <t>maçonnerie + façades (ravaleur)</t>
  </si>
  <si>
    <t>https://www.mon-professionnel.com/simco-societe-sa-325324</t>
  </si>
  <si>
    <t>827888280</t>
  </si>
  <si>
    <t>ARMOUNY FACADES</t>
  </si>
  <si>
    <t>PLOUAY</t>
  </si>
  <si>
    <t>56240</t>
  </si>
  <si>
    <t>56</t>
  </si>
  <si>
    <t>538775552</t>
  </si>
  <si>
    <t>BARROS FACADES</t>
  </si>
  <si>
    <t>CAUDAN</t>
  </si>
  <si>
    <t>56850</t>
  </si>
  <si>
    <t>791211840</t>
  </si>
  <si>
    <t>LB FACADES</t>
  </si>
  <si>
    <t>BRECH</t>
  </si>
  <si>
    <t>56400</t>
  </si>
  <si>
    <t>799915608</t>
  </si>
  <si>
    <t>POSSEME RAVALEMENT</t>
  </si>
  <si>
    <t>PLOERMEL</t>
  </si>
  <si>
    <t>56800</t>
  </si>
  <si>
    <t>490192820</t>
  </si>
  <si>
    <t>PRO RAVALEMENT</t>
  </si>
  <si>
    <t>SAINT-AVE</t>
  </si>
  <si>
    <t>56890</t>
  </si>
  <si>
    <t>ravalement, enduits, murs en pierre (RGE), 10-19 salariés</t>
  </si>
  <si>
    <t>https://www.proravalement.com/</t>
  </si>
  <si>
    <t>511235673</t>
  </si>
  <si>
    <t>ACTIF FACADE</t>
  </si>
  <si>
    <t>THIONVILLE</t>
  </si>
  <si>
    <t>57100</t>
  </si>
  <si>
    <t>57</t>
  </si>
  <si>
    <t>RGE isolation des murs par l'extérieur (ADEME) ; site web : bardage, enduit, facade, ravalement ; mot-clé dans le nom/enseigne ; NAF 43.99D BTP cohérent</t>
  </si>
  <si>
    <t>531089159</t>
  </si>
  <si>
    <t>BATI EST FACADES</t>
  </si>
  <si>
    <t>FAMECK</t>
  </si>
  <si>
    <t>57290</t>
  </si>
  <si>
    <t>828164111</t>
  </si>
  <si>
    <t>CLEAN FACADE SARL</t>
  </si>
  <si>
    <t>FLORANGE</t>
  </si>
  <si>
    <t>57190</t>
  </si>
  <si>
    <t>438483059</t>
  </si>
  <si>
    <t>EURO FACADE</t>
  </si>
  <si>
    <t>519526503</t>
  </si>
  <si>
    <t>FACADE PRODECOR EST</t>
  </si>
  <si>
    <t>PUTTELANGE-AUX-LACS</t>
  </si>
  <si>
    <t>57510</t>
  </si>
  <si>
    <t>511100372</t>
  </si>
  <si>
    <t>FACADES DU NORD EST (FACADES DU NORD EST)</t>
  </si>
  <si>
    <t>YUTZ</t>
  </si>
  <si>
    <t>57970</t>
  </si>
  <si>
    <t>RGE isolation des murs par l'extérieur (ADEME) ; site web : bardage, facade, facadier, isolation exterieur, isolation par l'exterieur, isolation thermique par l'exterieur, ite, ravalement ; mot-clé dans le nom/enseigne ; NAF 43.99C BTP cohérent</t>
  </si>
  <si>
    <t>801460635</t>
  </si>
  <si>
    <t>ISO FACADE 57</t>
  </si>
  <si>
    <t>GANDRANGE</t>
  </si>
  <si>
    <t>57175</t>
  </si>
  <si>
    <t>RGE isolation des murs par l'extérieur + revêtements</t>
  </si>
  <si>
    <t>https://www.france-artisan.fr/annuaire-rge/entreprise/80146063500023</t>
  </si>
  <si>
    <t>837973551</t>
  </si>
  <si>
    <t>ISO FACADES</t>
  </si>
  <si>
    <t>METZ</t>
  </si>
  <si>
    <t>57070</t>
  </si>
  <si>
    <t>484152491</t>
  </si>
  <si>
    <t>PRO FACADE</t>
  </si>
  <si>
    <t>RGE isolation des murs par l'extérieur (ADEME) ; site web : bardage, enduit, facade, isolation thermique exterieur, ite, ravalement ; mot-clé dans le nom/enseigne ; NAF 43.29A BTP cohérent</t>
  </si>
  <si>
    <t>509664041</t>
  </si>
  <si>
    <t>PROTECT FACADES</t>
  </si>
  <si>
    <t>MARLY</t>
  </si>
  <si>
    <t>57155</t>
  </si>
  <si>
    <t>534396502</t>
  </si>
  <si>
    <t>RS FACADE</t>
  </si>
  <si>
    <t>NORROY-LE-VENEUR</t>
  </si>
  <si>
    <t>57140</t>
  </si>
  <si>
    <t>354098667</t>
  </si>
  <si>
    <t>SARL PFF FACADE</t>
  </si>
  <si>
    <t>RGE isolation des murs par l'extérieur (ADEME) ; mot-clé dans le nom/enseigne ; NAF 68.20B hors BTP</t>
  </si>
  <si>
    <t>424764314</t>
  </si>
  <si>
    <t>SR RAVALEMENT</t>
  </si>
  <si>
    <t>SAINTE-MARIE-AUX-CHENES</t>
  </si>
  <si>
    <t>57255</t>
  </si>
  <si>
    <t>RGE isolation des murs par l'extérieur (ADEME) ; site web : crepi, enduit, facade, facadier, i.t.e, isolation par l'exterieur, isolation thermique par l'exterieur, ravalement ; mot-clé dans le nom/enseigne ; NAF 43.34Z BTP cohérent</t>
  </si>
  <si>
    <t>431427913</t>
  </si>
  <si>
    <t>STAR FACADES</t>
  </si>
  <si>
    <t>OGY-MONTOY-FLANVILLE</t>
  </si>
  <si>
    <t>57530</t>
  </si>
  <si>
    <t>RGE isolation des murs par l'extérieur (ADEME) ; site web : enduit, facade, isolation exterieur, ite, ravalement ; mot-clé dans le nom/enseigne ; NAF 43.99C BTP cohérent</t>
  </si>
  <si>
    <t>799752555</t>
  </si>
  <si>
    <t>TEMPO FACADES (DESIGN'FACADE)</t>
  </si>
  <si>
    <t>JURY</t>
  </si>
  <si>
    <t>57245</t>
  </si>
  <si>
    <t>883681348</t>
  </si>
  <si>
    <t>ZF FACADE</t>
  </si>
  <si>
    <t>PORCELETTE</t>
  </si>
  <si>
    <t>57890</t>
  </si>
  <si>
    <t>RGE isolation des murs par l'extérieur (ADEME) ; site web : enduit, facade, isolation thermique par l'exterieur, ravalement ; mot-clé dans le nom/enseigne ; NAF 43.99C BTP cohérent</t>
  </si>
  <si>
    <t>530844893</t>
  </si>
  <si>
    <t>ACTIV' FACADE</t>
  </si>
  <si>
    <t>LINSELLES</t>
  </si>
  <si>
    <t>59126</t>
  </si>
  <si>
    <t>59</t>
  </si>
  <si>
    <t>enduit projeté, ITE, sablage, nettoyage façade, bardage bois</t>
  </si>
  <si>
    <t>https://www.pagesjaunes.fr/pros/53982768</t>
  </si>
  <si>
    <t>479657025</t>
  </si>
  <si>
    <t>ADEQUAT FACADES</t>
  </si>
  <si>
    <t>TOURCOING</t>
  </si>
  <si>
    <t>59200</t>
  </si>
  <si>
    <t>ravalement, réparation de façades, rejointoiement brique</t>
  </si>
  <si>
    <t>https://www.pagesjaunes.fr/pros/09301134</t>
  </si>
  <si>
    <t>848438214</t>
  </si>
  <si>
    <t>ARRAS FACADES</t>
  </si>
  <si>
    <t>RAILLENCOURT-SAINTE-OLLE</t>
  </si>
  <si>
    <t>59554</t>
  </si>
  <si>
    <t>nettoyage et restauration de façades en pierre, taille de pierre (NAF atypique 23.70Z)</t>
  </si>
  <si>
    <t>https://www.objectifbluestone.eu/entreprises/arras-facades/</t>
  </si>
  <si>
    <t>513357244</t>
  </si>
  <si>
    <t>BOMY-LEDUC FACADES</t>
  </si>
  <si>
    <t>HAUBOURDIN</t>
  </si>
  <si>
    <t>59320</t>
  </si>
  <si>
    <t>rénovation de façade, ITE, nettoyage, peinture ext.</t>
  </si>
  <si>
    <t>https://www.pagesjaunes.fr/pros/52010391</t>
  </si>
  <si>
    <t>535018014</t>
  </si>
  <si>
    <t>DAL FACADE</t>
  </si>
  <si>
    <t>ANNŒULLIN</t>
  </si>
  <si>
    <t>59112</t>
  </si>
  <si>
    <t>492933106</t>
  </si>
  <si>
    <t>DEVIANNE FACADES</t>
  </si>
  <si>
    <t>WATTRELOS</t>
  </si>
  <si>
    <t>59150</t>
  </si>
  <si>
    <t>ravalement de façades, patrimoine régional</t>
  </si>
  <si>
    <t>https://www.devianne-facades.fr/</t>
  </si>
  <si>
    <t>525284691</t>
  </si>
  <si>
    <t>FACADES DES FLANDRES (FACADES DES FLANDRES)</t>
  </si>
  <si>
    <t>MARCQ-EN-BARŒUL</t>
  </si>
  <si>
    <t>59700</t>
  </si>
  <si>
    <t>RGE isolation des murs par l'extérieur (ADEME) ; site web : facade, ite, ravalement ; mot-clé dans le nom/enseigne ; NAF 43.34Z BTP cohérent</t>
  </si>
  <si>
    <t>410565709</t>
  </si>
  <si>
    <t>MAINTENANCE-FACADES-GROS ENTRETIENS-DIAGNOSTICS EN ABREGE M.F.G.D. (MFGD)</t>
  </si>
  <si>
    <t>AVELIN</t>
  </si>
  <si>
    <t>59710</t>
  </si>
  <si>
    <t>RGE isolation des murs par l'extérieur (ADEME) ; site web : bardage, enduit, facade, facadier, isolation exterieur, isolation thermique exterieur, ite, ravalement, vetage, veture ; mot-clé dans le nom/enseigne ; NAF 43.99A BTP cohérent</t>
  </si>
  <si>
    <t>429007867</t>
  </si>
  <si>
    <t>RAVALEMENT PIERRE MARBRERIE GRANIT (RPMG)</t>
  </si>
  <si>
    <t>ATTICHES</t>
  </si>
  <si>
    <t>59551</t>
  </si>
  <si>
    <t>activité déclarée : Ravalement, revêtement et entretien de toutes façades.</t>
  </si>
  <si>
    <t>https://www.bodacc.fr/ (SIREN 429007867)</t>
  </si>
  <si>
    <t>884985367</t>
  </si>
  <si>
    <t>VMC FACADES</t>
  </si>
  <si>
    <t>ROUBAIX</t>
  </si>
  <si>
    <t>59100</t>
  </si>
  <si>
    <t>rénovation de façade, enduit projeté, ITE (RGE Qualibat)</t>
  </si>
  <si>
    <t>https://annuaire-entreprises.data.gouv.fr/entreprise/884985367 (source d'origine hors ligne au 26/09/2026 : https://www.vmcfacades.fr/)</t>
  </si>
  <si>
    <t>808908248</t>
  </si>
  <si>
    <t>CO.FA.PI (R.E.G.I.E)</t>
  </si>
  <si>
    <t>BREUIL LE SEC</t>
  </si>
  <si>
    <t>60840</t>
  </si>
  <si>
    <t>60</t>
  </si>
  <si>
    <t>RGE isolation des murs par l'extérieur (ADEME) ; site web : crepi, facade, isolation exterieur, ite, ravalement ; mot-clé dans le nom/enseigne ; NAF 43.34Z BTP cohérent</t>
  </si>
  <si>
    <t>887894772</t>
  </si>
  <si>
    <t>SIMON BARDAGE ETANCHEITE (S B E)</t>
  </si>
  <si>
    <t>SAINT-LEU-D'ESSERENT</t>
  </si>
  <si>
    <t>60340</t>
  </si>
  <si>
    <t>activité déclarée : etude vente et fourniture de produits de couver- ture étancheité membrane bardage pose exécuté par l'entreprise et en sous traitance</t>
  </si>
  <si>
    <t>https://www.bodacc.fr/ (SIREN 887894772)</t>
  </si>
  <si>
    <t>884746892</t>
  </si>
  <si>
    <t>BASSE NORMANDIE ETANCHEITE BARDAGE</t>
  </si>
  <si>
    <t>FLERS</t>
  </si>
  <si>
    <t>61100</t>
  </si>
  <si>
    <t>61</t>
  </si>
  <si>
    <t>activité déclarée : Etanchéité, bardage.</t>
  </si>
  <si>
    <t>https://www.bodacc.fr/ (SIREN 884746892)</t>
  </si>
  <si>
    <t>524098159</t>
  </si>
  <si>
    <t>ETANCHEITE MEMBRANE COUVERTURE BARDAGE EN ABREGE EMCB</t>
  </si>
  <si>
    <t>MESSEI</t>
  </si>
  <si>
    <t>61440</t>
  </si>
  <si>
    <t>activité déclarée : Tous travaux de ravalement, bardage d'étanchéité, d'isolation, de montage et démontage de bâtiments destinés aux professionnels et aux particuliers et tous travaux liés au bâtiment</t>
  </si>
  <si>
    <t>https://www.bodacc.fr/ (SIREN 524098159)</t>
  </si>
  <si>
    <t>822907689</t>
  </si>
  <si>
    <t>FLERS COUVERTURE BARDAGE ETANCHEITE (FCBE)</t>
  </si>
  <si>
    <t>LA SELLE-LA-FORGE</t>
  </si>
  <si>
    <t>activité déclarée : Bardage étanchéité.</t>
  </si>
  <si>
    <t>https://www.bodacc.fr/ (SIREN 822907689)</t>
  </si>
  <si>
    <t>399206655</t>
  </si>
  <si>
    <t>FOURMY RAVALEMENT</t>
  </si>
  <si>
    <t>SEES</t>
  </si>
  <si>
    <t>61500</t>
  </si>
  <si>
    <t>RGE isolation des murs par l'extérieur (ADEME) ; site web : enduit, facade, isolation exterieur, isolation par l'exterieur, isolation thermique par l'exterieur, ravalement ; mot-clé dans le nom/enseigne ; NAF 43.34Z BTP cohérent</t>
  </si>
  <si>
    <t>919638007</t>
  </si>
  <si>
    <t>BANCEL FACADES</t>
  </si>
  <si>
    <t>BULLY-LES-MINES</t>
  </si>
  <si>
    <t>62160</t>
  </si>
  <si>
    <t>62</t>
  </si>
  <si>
    <t>restauration de façades : ITE, enduits, rejointoiement brique (Groupe Bancel)</t>
  </si>
  <si>
    <t>https://bancel-renovations.fr/</t>
  </si>
  <si>
    <t>524480530</t>
  </si>
  <si>
    <t>EYMAN FACADES (EYMAN FACADES)</t>
  </si>
  <si>
    <t>WIZERNES</t>
  </si>
  <si>
    <t>62570</t>
  </si>
  <si>
    <t>sources = annuaires uniquement (un annuaire indique 1-2 salariés) ; activité déclarée au greffe : Ravalement de façades</t>
  </si>
  <si>
    <t>https://www.bodacc.fr/ (SIREN 524480530)</t>
  </si>
  <si>
    <t>418260394</t>
  </si>
  <si>
    <t>FACADES ET TOITURES</t>
  </si>
  <si>
    <t>SAINT-MARTIN-BOULOGNE</t>
  </si>
  <si>
    <t>62280</t>
  </si>
  <si>
    <t>RGE isolation des murs par l'extérieur (ADEME) ; site web : facade, ravalement ; mot-clé dans le nom/enseigne ; NAF 43.99D BTP cohérent</t>
  </si>
  <si>
    <t>414206151</t>
  </si>
  <si>
    <t>GENTY COUVERTURE INDUSTRIELLE BARDAGE ETANCHEITE</t>
  </si>
  <si>
    <t>SAINT-LAURENT-BLANGY</t>
  </si>
  <si>
    <t>62223</t>
  </si>
  <si>
    <t>849501184</t>
  </si>
  <si>
    <t>GO FACADE 62</t>
  </si>
  <si>
    <t>BRUAY-LA-BUISSIERE</t>
  </si>
  <si>
    <t>62700</t>
  </si>
  <si>
    <t>enduits de façade (neuf/rénovation), maçonnerie</t>
  </si>
  <si>
    <t>https://www.ravalement-de-facade.com/entreprise/go-facade-62-849501184/</t>
  </si>
  <si>
    <t>919731521</t>
  </si>
  <si>
    <t>HAUTS DE FRANCE ETANCHEITE BARDAGE</t>
  </si>
  <si>
    <t>RICHEBOURG</t>
  </si>
  <si>
    <t>62136</t>
  </si>
  <si>
    <t>activité déclarée : toutes activités liées aux travaux d'étanchéité et à la pose de bardage.</t>
  </si>
  <si>
    <t>https://www.bodacc.fr/ (SIREN 919731521)</t>
  </si>
  <si>
    <t>837843697</t>
  </si>
  <si>
    <t>LES FACADES CERQUEIRA (LES FACADES CERQUEIRA)</t>
  </si>
  <si>
    <t>RECLINGHEM</t>
  </si>
  <si>
    <t>62560</t>
  </si>
  <si>
    <t>538865056</t>
  </si>
  <si>
    <t>MODERNE FACADE</t>
  </si>
  <si>
    <t>BETHUNE</t>
  </si>
  <si>
    <t>62400</t>
  </si>
  <si>
    <t>828510628</t>
  </si>
  <si>
    <t>MRJ HABITAT-FACADE (MRJ HABITAT)</t>
  </si>
  <si>
    <t>BEAURAINS</t>
  </si>
  <si>
    <t>62217</t>
  </si>
  <si>
    <t>904619160</t>
  </si>
  <si>
    <t>OPALE FACADE (OPALE FACADE)</t>
  </si>
  <si>
    <t>BOULOGNE-SUR-MER</t>
  </si>
  <si>
    <t>62200</t>
  </si>
  <si>
    <t>350989778</t>
  </si>
  <si>
    <t>RAVALEMENT MODERNE ETS LHERBIER</t>
  </si>
  <si>
    <t>NEUVILLE-SOUS-MONTREUIL</t>
  </si>
  <si>
    <t>62170</t>
  </si>
  <si>
    <t>RGE isolation des murs par l'extérieur (ADEME) ; site web : bardage, enduit, facade, facadier, ravalement ; mot-clé dans le nom/enseigne ; NAF 43.29A BTP cohérent</t>
  </si>
  <si>
    <t>397570417</t>
  </si>
  <si>
    <t>SPECIAL FACADE</t>
  </si>
  <si>
    <t>ARRAS</t>
  </si>
  <si>
    <t>62000</t>
  </si>
  <si>
    <t>834108771</t>
  </si>
  <si>
    <t>URBEL FACADE (URBEL FACADE)</t>
  </si>
  <si>
    <t>LILLERS</t>
  </si>
  <si>
    <t>62190</t>
  </si>
  <si>
    <t>RGE isolation des murs par l'extérieur (ADEME) ; site web : crepi, enduit, facade, facadier, isolation exterieur, isolation thermique exterieur, isolation thermique par l'exterieur, ite, ravalement ; mot-clé dans le nom/enseigne ; NAF 43.99C BTP cohérent</t>
  </si>
  <si>
    <t>488558438</t>
  </si>
  <si>
    <t>AUVERGNE MACONNERIE ET FACADES</t>
  </si>
  <si>
    <t>CLERMONT-FERRAND</t>
  </si>
  <si>
    <t>63100</t>
  </si>
  <si>
    <t>63</t>
  </si>
  <si>
    <t>maçonnerie, façades, ITE (NAF atypique 71.12B)</t>
  </si>
  <si>
    <t>https://www.pagesjaunes.fr/pros/56284631</t>
  </si>
  <si>
    <t>390895258</t>
  </si>
  <si>
    <t>ETANCHEITE COUVERTURE BARDAGE (ECB)</t>
  </si>
  <si>
    <t>BEAUREGARD-L'EVEQUE</t>
  </si>
  <si>
    <t>63116</t>
  </si>
  <si>
    <t>site web : bardage ; mot-clé dans le nom/enseigne ; NAF 43.99A BTP cohérent</t>
  </si>
  <si>
    <t>http://www.ecb63.com</t>
  </si>
  <si>
    <t>324698497</t>
  </si>
  <si>
    <t>FACADE ET COUVERTURE INDUSTRIELLE (FCI)</t>
  </si>
  <si>
    <t>CEBAZAT</t>
  </si>
  <si>
    <t>63118</t>
  </si>
  <si>
    <t>429331291</t>
  </si>
  <si>
    <t>FACE ET FACADES</t>
  </si>
  <si>
    <t>COURNON-D'AUVERGNE</t>
  </si>
  <si>
    <t>63800</t>
  </si>
  <si>
    <t>RGE isolation des murs par l'extérieur (ADEME) ; site web : crepi, facade, facadier, isolation thermique par l'exterieur, ravalement ; mot-clé dans le nom/enseigne ; NAF 43.39Z BTP cohérent</t>
  </si>
  <si>
    <t>445279250</t>
  </si>
  <si>
    <t>LIVRADOIS FACADE</t>
  </si>
  <si>
    <t>AMBERT</t>
  </si>
  <si>
    <t>63600</t>
  </si>
  <si>
    <t>RGE isolation des murs par l'extérieur (ADEME) ; site web : enduit, facade, isolation thermique par l'exterieur, ite, ravalement ; mot-clé dans le nom/enseigne ; NAF 43.99C BTP cohérent</t>
  </si>
  <si>
    <t>412349813</t>
  </si>
  <si>
    <t>ATLANTIC FACADE</t>
  </si>
  <si>
    <t>MOUGUERRE</t>
  </si>
  <si>
    <t>64990</t>
  </si>
  <si>
    <t>64</t>
  </si>
  <si>
    <t>ravalement, revêtements de façade, peinture</t>
  </si>
  <si>
    <t>https://www.pagesjaunes.fr/pros/08011317</t>
  </si>
  <si>
    <t>849688999</t>
  </si>
  <si>
    <t>FACADE CONSTRUCTION PAU (FACADE CONSTRUCTION PAU)</t>
  </si>
  <si>
    <t>SAINT-JAMMES</t>
  </si>
  <si>
    <t>64160</t>
  </si>
  <si>
    <t>ITE, enduits, rénovation de façades à la chaux</t>
  </si>
  <si>
    <t>https://www.facade-construction-pau.com/contact/</t>
  </si>
  <si>
    <t>493892830</t>
  </si>
  <si>
    <t>ABES FACADES</t>
  </si>
  <si>
    <t>ARGELES-SUR-MER</t>
  </si>
  <si>
    <t>66700</t>
  </si>
  <si>
    <t>66</t>
  </si>
  <si>
    <t>ravalement de façades et isolation extérieure</t>
  </si>
  <si>
    <t>https://www.pagesjaunes.fr/pros/51081411</t>
  </si>
  <si>
    <t>879497857</t>
  </si>
  <si>
    <t>ACN PEINTURES RAVALEMENTS</t>
  </si>
  <si>
    <t>SAINT-NAZAIRE</t>
  </si>
  <si>
    <t>66570</t>
  </si>
  <si>
    <t>524069184</t>
  </si>
  <si>
    <t>DECO FACADE</t>
  </si>
  <si>
    <t>PIA</t>
  </si>
  <si>
    <t>66380</t>
  </si>
  <si>
    <t>ravalement, enduits, ITE, rejointoiement, décor de façade</t>
  </si>
  <si>
    <t>https://www.deco-facades.fr/</t>
  </si>
  <si>
    <t>811158468</t>
  </si>
  <si>
    <t>ALSA DECO FACADES (ALSA DECO FACADES SASU)</t>
  </si>
  <si>
    <t>HAGUENAU</t>
  </si>
  <si>
    <t>67500</t>
  </si>
  <si>
    <t>67</t>
  </si>
  <si>
    <t>ravalement, enduits, ITE (RGE Qualibat, applicateur STO)</t>
  </si>
  <si>
    <t>https://annuaire-entreprises.data.gouv.fr/entreprise/811158468 (source d'origine hors ligne au 26/09/2026 : http://alsadecofacades.fr/)</t>
  </si>
  <si>
    <t>888838588</t>
  </si>
  <si>
    <t>BIG RAVALEMENT (BIG RAVALEMENT)</t>
  </si>
  <si>
    <t>STRASBOURG</t>
  </si>
  <si>
    <t>67100</t>
  </si>
  <si>
    <t>ravalement, ITE, peinture ext. (RGE Qualibat)</t>
  </si>
  <si>
    <t>https://annuaire-entreprises.data.gouv.fr/entreprise/888838588 (source d'origine hors ligne au 26/09/2026 : https://www.big-ravalement.fr/)</t>
  </si>
  <si>
    <t>832239610</t>
  </si>
  <si>
    <t>DS RAVALEMENT (DS RAVALEMENT)</t>
  </si>
  <si>
    <t>ravalement, ITE (RGE)</t>
  </si>
  <si>
    <t>https://annuaire-entreprises.data.gouv.fr/entreprise/832239610 (source d'origine hors ligne au 26/09/2026 : https://www.ds-ravalement.fr/)</t>
  </si>
  <si>
    <t>498208255</t>
  </si>
  <si>
    <t>EST RAVALEMENT</t>
  </si>
  <si>
    <t>NIEDERMODERN</t>
  </si>
  <si>
    <t>67350</t>
  </si>
  <si>
    <t>RGE isolation des murs par l'extérieur (ADEME) ; site web : crepi, enduit, facade, isolation thermique exterieur, isolation thermique par l'exterieur, ite, ravalement ; mot-clé dans le nom/enseigne ; NAF 43.99D BTP cohérent</t>
  </si>
  <si>
    <t>482949542</t>
  </si>
  <si>
    <t>FACADE DU RHIN</t>
  </si>
  <si>
    <t>67200</t>
  </si>
  <si>
    <t>RGE isolation des murs par l'extérieur (ADEME) ; site web : crepi, facade, isolation exterieur, isolation thermique exterieur, ravalement ; mot-clé dans le nom/enseigne ; NAF 43.29A BTP cohérent</t>
  </si>
  <si>
    <t>341276244</t>
  </si>
  <si>
    <t>KLEIN RAVALEMENT</t>
  </si>
  <si>
    <t>GUNDERSHOFFEN</t>
  </si>
  <si>
    <t>67110</t>
  </si>
  <si>
    <t>448079939</t>
  </si>
  <si>
    <t>ACBA FACADES</t>
  </si>
  <si>
    <t>TURCKHEIM</t>
  </si>
  <si>
    <t>68230</t>
  </si>
  <si>
    <t>68</t>
  </si>
  <si>
    <t>RGE isolation des murs par l'extérieur (ADEME) ; site web : crepi, facade, isolation exterieur, ravalement ; mot-clé dans le nom/enseigne ; NAF 43.34Z BTP cohérent</t>
  </si>
  <si>
    <t>532349222</t>
  </si>
  <si>
    <t>PRESTI FACADE (PRESTI FACADE)</t>
  </si>
  <si>
    <t>KINGERSHEIM</t>
  </si>
  <si>
    <t>68260</t>
  </si>
  <si>
    <t>803182211</t>
  </si>
  <si>
    <t>SOLEIL FACADES 68</t>
  </si>
  <si>
    <t>SAUSHEIM</t>
  </si>
  <si>
    <t>68390</t>
  </si>
  <si>
    <t>ravalement de façades, RGE, toiture-terrasse</t>
  </si>
  <si>
    <t>https://www.soleil-facades-68.com/</t>
  </si>
  <si>
    <t>793144585</t>
  </si>
  <si>
    <t>A.N TOITURE BARDAGE</t>
  </si>
  <si>
    <t>CHATILLON</t>
  </si>
  <si>
    <t>69380</t>
  </si>
  <si>
    <t>69</t>
  </si>
  <si>
    <t>RGE isolation des murs par l'extérieur (ADEME) ; mot-clé dans le nom/enseigne ; NAF 43.91A BTP cohérent</t>
  </si>
  <si>
    <t>392590667</t>
  </si>
  <si>
    <t>CHAMPAGNE FACADES</t>
  </si>
  <si>
    <t>CHAMPAGNE-AU-MONT-D'OR</t>
  </si>
  <si>
    <t>69410</t>
  </si>
  <si>
    <t>431573641</t>
  </si>
  <si>
    <t>EGP (OPNR FACADE)</t>
  </si>
  <si>
    <t>SOLAIZE</t>
  </si>
  <si>
    <t>69360</t>
  </si>
  <si>
    <t>327590915</t>
  </si>
  <si>
    <t>FACADES PLATRERIE PEINTURE MONCEL</t>
  </si>
  <si>
    <t>QUINCIEUX</t>
  </si>
  <si>
    <t>69650</t>
  </si>
  <si>
    <t>334557634</t>
  </si>
  <si>
    <t>GENERALE D ETANCHEITE ET DE REFECTION DE FACADES (GERFA RHONE ALPES)</t>
  </si>
  <si>
    <t>SAINT-PRIEST</t>
  </si>
  <si>
    <t>69800</t>
  </si>
  <si>
    <t>étanchéité + réfection de façades (GERFA), 20-49 salariés</t>
  </si>
  <si>
    <t>https://www.pappers.fr/entreprise/gerfa-rhone-alpes-generale-d-etancheite-et-de-refection-de-facades-334557634</t>
  </si>
  <si>
    <t>790146203</t>
  </si>
  <si>
    <t>GENERATION FACADES</t>
  </si>
  <si>
    <t>CHAPONOST</t>
  </si>
  <si>
    <t>69630</t>
  </si>
  <si>
    <t>440199644</t>
  </si>
  <si>
    <t>I B FACADES</t>
  </si>
  <si>
    <t>VAULX-EN-VELIN</t>
  </si>
  <si>
    <t>69120</t>
  </si>
  <si>
    <t>793288226</t>
  </si>
  <si>
    <t>LA FRANCAISE DES FACADES (LFF)</t>
  </si>
  <si>
    <t>MIONS</t>
  </si>
  <si>
    <t>69780</t>
  </si>
  <si>
    <t>894148626</t>
  </si>
  <si>
    <t>LA LYONNAISE DES FACADES</t>
  </si>
  <si>
    <t>VENISSIEUX</t>
  </si>
  <si>
    <t>69200</t>
  </si>
  <si>
    <t>911417988</t>
  </si>
  <si>
    <t>MY CONCEPT FACADE</t>
  </si>
  <si>
    <t>SAINT-FONS</t>
  </si>
  <si>
    <t>69190</t>
  </si>
  <si>
    <t>391002003</t>
  </si>
  <si>
    <t>THIZY-LES-BOURGS</t>
  </si>
  <si>
    <t>69240</t>
  </si>
  <si>
    <t>828497768</t>
  </si>
  <si>
    <t>RHONE ALPES FACADE PEINTURE</t>
  </si>
  <si>
    <t>VILLEURBANNE</t>
  </si>
  <si>
    <t>69100</t>
  </si>
  <si>
    <t>RGE isolation des murs par l'extérieur (ADEME) ; site web : enduit, facade, facadier, isolation exterieur, isolation thermique par l'exterieur, ite, ravalement ; mot-clé dans le nom/enseigne ; NAF 43.99C BTP cohérent</t>
  </si>
  <si>
    <t>491310371</t>
  </si>
  <si>
    <t>SAS PARMENTIER FACADES</t>
  </si>
  <si>
    <t>ITE, imperméabilisation, rejointoiement, peinture de façade</t>
  </si>
  <si>
    <t>https://www.pagesjaunes.fr/pros/50049405</t>
  </si>
  <si>
    <t>452605314</t>
  </si>
  <si>
    <t>T.T.B. FACADES</t>
  </si>
  <si>
    <t>RGE isolation des murs par l'extérieur (ADEME) ; site web : enduit, facade, ite, ravalement ; mot-clé dans le nom/enseigne ; NAF 43.31Z BTP cohérent</t>
  </si>
  <si>
    <t>892076993</t>
  </si>
  <si>
    <t>TANTI FACADES</t>
  </si>
  <si>
    <t>ITE et rénovation de façade, RGE murs par l'extérieur</t>
  </si>
  <si>
    <t>https://www.france-artisan.fr/annuaire-rge/entreprise/89207699300013</t>
  </si>
  <si>
    <t>853567295</t>
  </si>
  <si>
    <t>TECHNIQUE BARDAGES FACADES (T.B.F) (T.B.F)</t>
  </si>
  <si>
    <t>DARDILLY</t>
  </si>
  <si>
    <t>69570</t>
  </si>
  <si>
    <t>804305852</t>
  </si>
  <si>
    <t>YAZANLAR FACADE (SOCIETE ISOLATION TRANSFORMATION HABITAT ( SITRHA ))</t>
  </si>
  <si>
    <t>452780760</t>
  </si>
  <si>
    <t>COULEUR FACADES EURL</t>
  </si>
  <si>
    <t>MACON</t>
  </si>
  <si>
    <t>71000</t>
  </si>
  <si>
    <t>71</t>
  </si>
  <si>
    <t>RGE isolation des murs par l'extérieur (ADEME) ; site web : crepi, enduit, facade, facadier, isolation exterieur, ite, ravalement ; mot-clé dans le nom/enseigne ; NAF 43.34Z BTP cohérent</t>
  </si>
  <si>
    <t>801322561</t>
  </si>
  <si>
    <t>FACADES ET DECORS</t>
  </si>
  <si>
    <t>SAINT REMY DES MONTS</t>
  </si>
  <si>
    <t>72600</t>
  </si>
  <si>
    <t>72</t>
  </si>
  <si>
    <t>ravalement et peinture de façade, décors, stuc</t>
  </si>
  <si>
    <t>https://www.pagesjaunes.fr/pros/62433125</t>
  </si>
  <si>
    <t>499045110</t>
  </si>
  <si>
    <t>EX-YU-FACADE SARL</t>
  </si>
  <si>
    <t>LE BOURGET-DU-LAC</t>
  </si>
  <si>
    <t>73370</t>
  </si>
  <si>
    <t>73</t>
  </si>
  <si>
    <t>RGE isolation des murs par l'extérieur (ADEME) ; site web : crepi, facade, facadier, isolation exterieur, ravalement ; mot-clé dans le nom/enseigne ; NAF 43.29A BTP cohérent</t>
  </si>
  <si>
    <t>832409296</t>
  </si>
  <si>
    <t>GF FACADES (GULAL FACADES)</t>
  </si>
  <si>
    <t>MERY</t>
  </si>
  <si>
    <t>73420</t>
  </si>
  <si>
    <t>RGE isolation des murs par l'extérieur (ADEME) ; site web : crepi, enduit, facade, facadier, isolation par l exterieur, isolation thermique exterieur, ite, ravalement ; mot-clé dans le nom/enseigne ; NAF 43.99C BTP cohérent</t>
  </si>
  <si>
    <t>384871257</t>
  </si>
  <si>
    <t>LES FACADES DU GELON</t>
  </si>
  <si>
    <t>ROTHERENS</t>
  </si>
  <si>
    <t>73110</t>
  </si>
  <si>
    <t>ravalement de façades, isolation, enduits</t>
  </si>
  <si>
    <t>https://www.pagesjaunes.fr/pros/06862094</t>
  </si>
  <si>
    <t>791900889</t>
  </si>
  <si>
    <t>SEZER ARDIC</t>
  </si>
  <si>
    <t>CHAMBERY</t>
  </si>
  <si>
    <t>73000</t>
  </si>
  <si>
    <t>819363268</t>
  </si>
  <si>
    <t>DECO FACADE 74</t>
  </si>
  <si>
    <t>THYEZ</t>
  </si>
  <si>
    <t>74300</t>
  </si>
  <si>
    <t>74</t>
  </si>
  <si>
    <t>façades, enduits, peinture, isolation (Qualibat), 21 salariés</t>
  </si>
  <si>
    <t>https://decofacade74.fr/</t>
  </si>
  <si>
    <t>815084561</t>
  </si>
  <si>
    <t>ECO MURS (ECOMURS)</t>
  </si>
  <si>
    <t>BONNEVILLE</t>
  </si>
  <si>
    <t>74130</t>
  </si>
  <si>
    <t>traitement et ravalement de façades, RPE, ITE</t>
  </si>
  <si>
    <t>https://ecomurs.com/</t>
  </si>
  <si>
    <t>797874500</t>
  </si>
  <si>
    <t>FCF FACADES (FCF FACADES)</t>
  </si>
  <si>
    <t>ANNECY</t>
  </si>
  <si>
    <t>74000</t>
  </si>
  <si>
    <t>ravalement, enduits, ITE</t>
  </si>
  <si>
    <t>https://fcf-facades.fr/</t>
  </si>
  <si>
    <t>538015751</t>
  </si>
  <si>
    <t>A.C.D. RAVALEMENT</t>
  </si>
  <si>
    <t>PARIS</t>
  </si>
  <si>
    <t>75017</t>
  </si>
  <si>
    <t>75</t>
  </si>
  <si>
    <t>ravalement de façades (PagesJaunes), 22 salariés</t>
  </si>
  <si>
    <t>https://www.pagesjaunes.fr/pros/60541296</t>
  </si>
  <si>
    <t>812329860</t>
  </si>
  <si>
    <t>AMG FACADES (GROUPE VERLAINE)</t>
  </si>
  <si>
    <t>75008</t>
  </si>
  <si>
    <t>travaux de façade + photovoltaïque/PAC (multi-activité), partenaire Weber</t>
  </si>
  <si>
    <t>https://www.amgfacades.fr/Plaquette%20AMG%20Fa%C3%A7ades.pdf</t>
  </si>
  <si>
    <t>824878391</t>
  </si>
  <si>
    <t>DM-POSE-FACADE</t>
  </si>
  <si>
    <t>75020</t>
  </si>
  <si>
    <t>façade légère : bardage, murs-rideaux, menuiserie</t>
  </si>
  <si>
    <t>https://www.pappers.fr/entreprise/dm-pose-facade-824878391</t>
  </si>
  <si>
    <t>812884260</t>
  </si>
  <si>
    <t>FRANCE BARDAGE</t>
  </si>
  <si>
    <t>75018</t>
  </si>
  <si>
    <t>activité déclarée : Bardage, menuiserie aluminium, Pvc et bois.</t>
  </si>
  <si>
    <t>https://www.bodacc.fr/ (SIREN 812884260)</t>
  </si>
  <si>
    <t>893849711</t>
  </si>
  <si>
    <t>ISOLATION BARDAGE EXTERIEUR</t>
  </si>
  <si>
    <t>RGE isolation des murs par l'extérieur (ADEME) ; mot-clé dans le nom/enseigne ; NAF 41.20A BTP cohérent</t>
  </si>
  <si>
    <t>830550471</t>
  </si>
  <si>
    <t>LABALU (ENTREPRISE BARDAGE MENUISERIE) (E.B.M)</t>
  </si>
  <si>
    <t>activité déclarée : Travaux neufs et rénovation menuiserie bardage isolation extérieur tous types d'enduits de façade, tous supports, ravalement, nettoyage, décapage</t>
  </si>
  <si>
    <t>https://www.bodacc.fr/ (SIREN 830550471)</t>
  </si>
  <si>
    <t>908537194</t>
  </si>
  <si>
    <t>RIBEIRO BARDAGE ET FILS</t>
  </si>
  <si>
    <t>75014</t>
  </si>
  <si>
    <t>activité déclarée : La société a pour objet la pose de bardage.</t>
  </si>
  <si>
    <t>https://www.bodacc.fr/ (SIREN 908537194)</t>
  </si>
  <si>
    <t>404877268</t>
  </si>
  <si>
    <t>SOC LAVAGE &amp; RAVALEMENT (SLR)</t>
  </si>
  <si>
    <t>819864646</t>
  </si>
  <si>
    <t>TECHNI-POSE-FACADES</t>
  </si>
  <si>
    <t>façade légère : murs-rideaux + menuiserie</t>
  </si>
  <si>
    <t>https://guide-de-l-habitat.fr/artisans/paris/menuisier/techni-pose-facades/</t>
  </si>
  <si>
    <t>885003285</t>
  </si>
  <si>
    <t>AILA FACADE</t>
  </si>
  <si>
    <t>LE HAVRE</t>
  </si>
  <si>
    <t>76600</t>
  </si>
  <si>
    <t>76</t>
  </si>
  <si>
    <t>803745827</t>
  </si>
  <si>
    <t>AT FACADES (AT FACADES)</t>
  </si>
  <si>
    <t>MONTIVILLIERS</t>
  </si>
  <si>
    <t>76290</t>
  </si>
  <si>
    <t>801971961</t>
  </si>
  <si>
    <t>CONSTRUCTION RAVALEMENT EXTERIEUR (C.R.E)</t>
  </si>
  <si>
    <t>EU</t>
  </si>
  <si>
    <t>76260</t>
  </si>
  <si>
    <t>activité déclarée : Construction ravalement extérieur et extention</t>
  </si>
  <si>
    <t>https://www.bodacc.fr/ (SIREN 801971961)</t>
  </si>
  <si>
    <t>845400118</t>
  </si>
  <si>
    <t>E.M BATIMENT</t>
  </si>
  <si>
    <t>76620</t>
  </si>
  <si>
    <t>RGE isolation des murs par l'extérieur (ADEME) ; site web : bardage, enduit, facade, isolation exterieur, isolation par l'exterieur, isolation thermique exterieur, isolation thermique par l'exterieur, ite, ravalement ; NAF 43.99C BTP cohérent</t>
  </si>
  <si>
    <t>808120646</t>
  </si>
  <si>
    <t>F.C.B. (FOURDRINIER COUVERTURE BARDAGES)</t>
  </si>
  <si>
    <t>BLAINVILLE-CREVON</t>
  </si>
  <si>
    <t>76116</t>
  </si>
  <si>
    <t>activité déclarée : Activités de couverture, plomberie, Instalations de génie climatique, isolation, menuiserie, bardages, parquets, décoration et aménagement de combles.</t>
  </si>
  <si>
    <t>https://www.bodacc.fr/ (SIREN 808120646)</t>
  </si>
  <si>
    <t>804440360</t>
  </si>
  <si>
    <t>FACADE EXPRESS</t>
  </si>
  <si>
    <t>SAINT-JACQUES-SUR-DARNETAL</t>
  </si>
  <si>
    <t>76160</t>
  </si>
  <si>
    <t>533012068</t>
  </si>
  <si>
    <t>G.H. RAVALEMENT</t>
  </si>
  <si>
    <t>513407064</t>
  </si>
  <si>
    <t>IC FACADE</t>
  </si>
  <si>
    <t>ROUMARE</t>
  </si>
  <si>
    <t>76480</t>
  </si>
  <si>
    <t>794777573</t>
  </si>
  <si>
    <t>LUNE RAVALEMENT (LUNE RAVALEMENT)</t>
  </si>
  <si>
    <t>ESTEVILLE</t>
  </si>
  <si>
    <t>76690</t>
  </si>
  <si>
    <t>380709972</t>
  </si>
  <si>
    <t>MJRF</t>
  </si>
  <si>
    <t>DEVILLE-LES-ROUEN</t>
  </si>
  <si>
    <t>76250</t>
  </si>
  <si>
    <t>808397723</t>
  </si>
  <si>
    <t>O FACADE (NAVEA)</t>
  </si>
  <si>
    <t>FONTAINE-LA-MALLET</t>
  </si>
  <si>
    <t>objet social modifié en 2017 : revêtements de façade, enduits</t>
  </si>
  <si>
    <t>https://www.pappers.fr/entreprise/navea-o-facade-808397723</t>
  </si>
  <si>
    <t>789001286</t>
  </si>
  <si>
    <t>2TF -TRAITEMENT TECHNIQUE DES FACADES &amp; FINITIONS (2TF - TRAITEMENT TECHNIQUE DES FACADES &amp; FINITIONS)</t>
  </si>
  <si>
    <t>CROISSY-BEAUBOURG</t>
  </si>
  <si>
    <t>77183</t>
  </si>
  <si>
    <t>77</t>
  </si>
  <si>
    <t>RGE isolation des murs par l'extérieur (ADEME) ; site web : bardage, enduit, facade, isolation exterieur, isolation thermique par l'exterieur, ite, ravalement ; mot-clé dans le nom/enseigne ; NAF 43.99C BTP cohérent</t>
  </si>
  <si>
    <t>834036568</t>
  </si>
  <si>
    <t>CENTRE D'ETANCHEITE COUVERTURE BARDAGE (C.E.C.B.)</t>
  </si>
  <si>
    <t>PONTAULT-COMBAULT</t>
  </si>
  <si>
    <t>77340</t>
  </si>
  <si>
    <t>activité déclarée : couverture, bardage, étanchéité, façade en acier, et bois toutes prestations de services pour toute personne physique ou morale, toute transaction mobilière ou immobilière, achat ou vente et en général toute opération industrielle, commerciale ou financière pouvant se rattacher directement ou indirectement a l'objet social ou susceptible d'en faciliter et l'extension.</t>
  </si>
  <si>
    <t>https://www.bodacc.fr/ (SIREN 834036568)</t>
  </si>
  <si>
    <t>441383338</t>
  </si>
  <si>
    <t>DIAGONALE FACADES</t>
  </si>
  <si>
    <t>CHELLES</t>
  </si>
  <si>
    <t>77500</t>
  </si>
  <si>
    <t>couverture + réfection de façades et ITE (multi-métier)</t>
  </si>
  <si>
    <t>https://www.pagesjaunes.fr/pros/09098530</t>
  </si>
  <si>
    <t>904694825</t>
  </si>
  <si>
    <t>EURO DESIGN FACADES</t>
  </si>
  <si>
    <t>BUSSY-SAINT-GEORGES</t>
  </si>
  <si>
    <t>77600</t>
  </si>
  <si>
    <t>447572975</t>
  </si>
  <si>
    <t>FACATEC RAVALEMENT</t>
  </si>
  <si>
    <t>VILLENEUVE-SUR-BELLOT</t>
  </si>
  <si>
    <t>77510</t>
  </si>
  <si>
    <t>ravalement, enduits chaux, restauration bâti ancien</t>
  </si>
  <si>
    <t>https://www.facatec-france.fr/</t>
  </si>
  <si>
    <t>488426479</t>
  </si>
  <si>
    <t>RAVALEMENT MACONNERIE CARRELAGE (R.M.C)</t>
  </si>
  <si>
    <t>SAVIGNY-LE-TEMPLE</t>
  </si>
  <si>
    <t>77176</t>
  </si>
  <si>
    <t>828563577</t>
  </si>
  <si>
    <t>RAVALEMENT PARIS NORD</t>
  </si>
  <si>
    <t>LE MEE-SUR-SEINE</t>
  </si>
  <si>
    <t>77350</t>
  </si>
  <si>
    <t>activité déclarée : ravalement, isolation, peinture, plaquette, bardage. / ravalement, isolation, peinture, plaquette..</t>
  </si>
  <si>
    <t>https://www.bodacc.fr/ (SIREN 828563577)</t>
  </si>
  <si>
    <t>495131625</t>
  </si>
  <si>
    <t>RODA FACADES (RODA FACADES)</t>
  </si>
  <si>
    <t>MITRY-MORY</t>
  </si>
  <si>
    <t>77290</t>
  </si>
  <si>
    <t>334613379</t>
  </si>
  <si>
    <t>SARL SMC RAVALEMENT (SOCIETE MONOCOUCHE DE CARRELAGES ET RAVALEMENT)</t>
  </si>
  <si>
    <t>VILLEVAUDE</t>
  </si>
  <si>
    <t>77410</t>
  </si>
  <si>
    <t>RGE isolation des murs par l'extérieur (ADEME) ; site web : bardage, enduit, facade, isolation exterieur, ravalement ; mot-clé dans le nom/enseigne ; NAF 43.34Z BTP cohérent</t>
  </si>
  <si>
    <t>848436838</t>
  </si>
  <si>
    <t>BATI PRO (PEINTURE INTERIEURE ET EXTERIEURE, FACADE, ISOLATION INTERIEURE ET EXT)</t>
  </si>
  <si>
    <t>CHATOU</t>
  </si>
  <si>
    <t>78400</t>
  </si>
  <si>
    <t>78</t>
  </si>
  <si>
    <t>891174286</t>
  </si>
  <si>
    <t>CSP FACADE</t>
  </si>
  <si>
    <t>CHANTELOUP-LES-VIGNES</t>
  </si>
  <si>
    <t>78570</t>
  </si>
  <si>
    <t>bardage, parement, enduit, sablage, ravalement, rejointoiement</t>
  </si>
  <si>
    <t>https://annuaire-entreprises.data.gouv.fr/entreprise/891174286 (source d'origine hors ligne au 26/09/2026 : https://csp-facades.fr/contact/)</t>
  </si>
  <si>
    <t>351722772</t>
  </si>
  <si>
    <t>E.R.P ENTREPRISE RAVALEMENT PROJETE</t>
  </si>
  <si>
    <t>LE PECQ</t>
  </si>
  <si>
    <t>78230</t>
  </si>
  <si>
    <t>RGE isolation des murs par l'extérieur (ADEME) ; site web : bardage, crepi, enduit, facade, ite, ravalement ; mot-clé dans le nom/enseigne ; NAF 43.39Z BTP cohérent</t>
  </si>
  <si>
    <t>814278735</t>
  </si>
  <si>
    <t>MD RAVALEMENT</t>
  </si>
  <si>
    <t>COIGNIERES</t>
  </si>
  <si>
    <t>78310</t>
  </si>
  <si>
    <t>ravalement de façades, peinture</t>
  </si>
  <si>
    <t>https://annuaire-entreprises.data.gouv.fr/entreprise/814278735 (source d'origine hors ligne au 26/09/2026 : https://www.monartisan.info/artisan-md-ravalement-91480)</t>
  </si>
  <si>
    <t>339894206</t>
  </si>
  <si>
    <t>PEINTURE ET RAVALEMENT DE L'OUEST PARISIEN (PROP) (PROP)</t>
  </si>
  <si>
    <t>MAISONS-LAFFITTE</t>
  </si>
  <si>
    <t>78600</t>
  </si>
  <si>
    <t>site web : facade, ravalement ; mot-clé dans le nom/enseigne ; NAF 43.34Z BTP cohérent</t>
  </si>
  <si>
    <t>http://www.groupe-prop.fr</t>
  </si>
  <si>
    <t>952133445</t>
  </si>
  <si>
    <t>RINALDI (RINALDI) (LG FACADES)</t>
  </si>
  <si>
    <t>100 à 199</t>
  </si>
  <si>
    <t>VERSAILLES</t>
  </si>
  <si>
    <t>78000</t>
  </si>
  <si>
    <t>façade légère : façades métalliques, murs-rideaux (Rinaldi), 100-199 salariés</t>
  </si>
  <si>
    <t>https://www.rinaldi.fr/</t>
  </si>
  <si>
    <t>411422165</t>
  </si>
  <si>
    <t>SAS FERNANDES (FERNANDES)</t>
  </si>
  <si>
    <t>LES MUREAUX</t>
  </si>
  <si>
    <t>78130</t>
  </si>
  <si>
    <t>RGE isolation des murs par l'extérieur (ADEME) ; site web : bardage, enduit, ite, ravalement ; mot-clé dans le nom/enseigne ; NAF 43.99C BTP cohérent</t>
  </si>
  <si>
    <t>881400766</t>
  </si>
  <si>
    <t>LES FACADES DU THOUET</t>
  </si>
  <si>
    <t>POMPAIRE</t>
  </si>
  <si>
    <t>79200</t>
  </si>
  <si>
    <t>79</t>
  </si>
  <si>
    <t>RGE isolation des murs par l'extérieur (ADEME) ; site web : bardage, enduit, facade, isolation exterieur, isolation par l'exterieur, ravalement ; mot-clé dans le nom/enseigne ; NAF 43.29A BTP cohérent</t>
  </si>
  <si>
    <t>378864714</t>
  </si>
  <si>
    <t>MOREAU RAVALEMENT</t>
  </si>
  <si>
    <t>LE TALLUD</t>
  </si>
  <si>
    <t>338930456</t>
  </si>
  <si>
    <t>RAVALEMENT MACONNERIE THOUARSAIS (RMT)</t>
  </si>
  <si>
    <t>LUZAY</t>
  </si>
  <si>
    <t>79100</t>
  </si>
  <si>
    <t>522777358</t>
  </si>
  <si>
    <t>ECO FACADE</t>
  </si>
  <si>
    <t>AMIENS</t>
  </si>
  <si>
    <t>80000</t>
  </si>
  <si>
    <t>80</t>
  </si>
  <si>
    <t>ravalement, nettoyage, enduits, ITE</t>
  </si>
  <si>
    <t>http://www.eco-facade.fr/</t>
  </si>
  <si>
    <t>910594225</t>
  </si>
  <si>
    <t>LM RAVALEMENT</t>
  </si>
  <si>
    <t>ravalement, revêtements et isolation de façade</t>
  </si>
  <si>
    <t>https://www.lmravalement.fr/</t>
  </si>
  <si>
    <t>837873835</t>
  </si>
  <si>
    <t>TOUS GROS OEUVRE FACADE (TGF)</t>
  </si>
  <si>
    <t>80080</t>
  </si>
  <si>
    <t>généraliste (maçonnerie, plâtrerie, carrelage, enduits, peinture) ; façade non spécifique ; activité déclarée au greffe : Travaux de maçonnerie générale, plâtrerie, carrelage, enduit, peinture, pour constructions neuves ou rénovations de bâtiments publics, industriels et logements privés.</t>
  </si>
  <si>
    <t>https://www.bodacc.fr/ (SIREN 837873835)</t>
  </si>
  <si>
    <t>508617958</t>
  </si>
  <si>
    <t>FACADE ALU' 81</t>
  </si>
  <si>
    <t>TERSSAC</t>
  </si>
  <si>
    <t>81150</t>
  </si>
  <si>
    <t>81</t>
  </si>
  <si>
    <t>RGE isolation des murs par l'extérieur (ADEME) ; mot-clé dans le nom/enseigne ; NAF 43.99B BTP cohérent</t>
  </si>
  <si>
    <t>500931233</t>
  </si>
  <si>
    <t>EMBELLIE FACADES (SARL EMBELLIE FACADES)</t>
  </si>
  <si>
    <t>MAS-GRENIER</t>
  </si>
  <si>
    <t>82600</t>
  </si>
  <si>
    <t>82</t>
  </si>
  <si>
    <t>RGE isolation des murs par l'extérieur (ADEME) ; site web : enduit, facade, isolation thermique par l'exterieur, ravalement ; mot-clé dans le nom/enseigne ; NAF 43.34Z BTP cohérent</t>
  </si>
  <si>
    <t>510637341</t>
  </si>
  <si>
    <t>NICOLAS LEROUGE (LEROUGE FACADE)</t>
  </si>
  <si>
    <t>MONTBETON</t>
  </si>
  <si>
    <t>82290</t>
  </si>
  <si>
    <t>RGE isolation des murs par l'extérieur (ADEME) ; site web : enduit, facade, isolation thermique exterieur, ite, ravalement ; mot-clé dans le nom/enseigne ; NAF 43.33Z BTP cohérent</t>
  </si>
  <si>
    <t>909085185</t>
  </si>
  <si>
    <t>DM RAVALEMENT</t>
  </si>
  <si>
    <t>DRAGUIGNAN</t>
  </si>
  <si>
    <t>83300</t>
  </si>
  <si>
    <t>83</t>
  </si>
  <si>
    <t>maçonnerie, enduits, ravalement de façade, rénovation</t>
  </si>
  <si>
    <t>https://www.dmravalement.fr/renovation-exterieure</t>
  </si>
  <si>
    <t>314952599</t>
  </si>
  <si>
    <t>FACADES RAVALEMENTS ARTISANALE PEINTURES (FRAP)</t>
  </si>
  <si>
    <t>HYERES</t>
  </si>
  <si>
    <t>83400</t>
  </si>
  <si>
    <t>453694895</t>
  </si>
  <si>
    <t>FACADES RENOVATION ET CONCEPTION</t>
  </si>
  <si>
    <t>SAINT-RAPHAEL</t>
  </si>
  <si>
    <t>83700</t>
  </si>
  <si>
    <t>RGE isolation des murs par l'extérieur (ADEME) ; site web : enduit, facade, isolation exterieur, isolation par l'exterieur, isolation thermique exterieur, isolation thermique par l'exterieur, ite, ravalement ; mot-clé dans le nom/enseigne ; NAF 43.34Z BTP cohérent</t>
  </si>
  <si>
    <t>418031878</t>
  </si>
  <si>
    <t>GROS OEUVRE FACADE TOITURE</t>
  </si>
  <si>
    <t>LA VALETTE-DU-VAR</t>
  </si>
  <si>
    <t>83160</t>
  </si>
  <si>
    <t>entreprise générale : gros œuvre, façade, toiture (multi-métier)</t>
  </si>
  <si>
    <t>https://www.goft-construction.fr/</t>
  </si>
  <si>
    <t>815165923</t>
  </si>
  <si>
    <t>SAINT RAPHAEL</t>
  </si>
  <si>
    <t>83530</t>
  </si>
  <si>
    <t>RGE isolation des murs par l'extérieur (ADEME) ; site web : crepi, enduit, facade, isolation par l exterieur, ite, ravalement ; mot-clé dans le nom/enseigne ; NAF 43.34Z BTP cohérent</t>
  </si>
  <si>
    <t>888519303</t>
  </si>
  <si>
    <t>LES FACADES DE MANON (LES FACADES DE MANON)</t>
  </si>
  <si>
    <t>LE PRADET</t>
  </si>
  <si>
    <t>83220</t>
  </si>
  <si>
    <t>ravalement, enduit projeté, ITE, peinture</t>
  </si>
  <si>
    <t>https://www.lesfacadesdemanon.fr/</t>
  </si>
  <si>
    <t>848875118</t>
  </si>
  <si>
    <t>PRO-FACADE (PRO-FACADE)</t>
  </si>
  <si>
    <t>SAINTE-MAXIME</t>
  </si>
  <si>
    <t>83120</t>
  </si>
  <si>
    <t>ravalement/nettoyage façade, ITE, peinture, échafaudage</t>
  </si>
  <si>
    <t>https://www.pappers.fr/entreprise/pro-facade-848875118</t>
  </si>
  <si>
    <t>801055278</t>
  </si>
  <si>
    <t>RAVALEMENT DU GOLFE</t>
  </si>
  <si>
    <t>sources = annuaires uniquement ; activité déclarée au greffe : ravalement de façades</t>
  </si>
  <si>
    <t>https://www.bodacc.fr/ (SIREN 801055278)</t>
  </si>
  <si>
    <t>529623852</t>
  </si>
  <si>
    <t>SOULEU FACADES</t>
  </si>
  <si>
    <t>LA CRAU</t>
  </si>
  <si>
    <t>83260</t>
  </si>
  <si>
    <t>815186622</t>
  </si>
  <si>
    <t>ZEYNI FACADES</t>
  </si>
  <si>
    <t>MONDRAGON</t>
  </si>
  <si>
    <t>84430</t>
  </si>
  <si>
    <t>84</t>
  </si>
  <si>
    <t>503909020</t>
  </si>
  <si>
    <t>A.I.S.B. - ACTION - ISOLATION - SYSTEMES BARDAGE (GUILLOT MENUISERIE PVC)</t>
  </si>
  <si>
    <t>CHALLANS</t>
  </si>
  <si>
    <t>85300</t>
  </si>
  <si>
    <t>85</t>
  </si>
  <si>
    <t>RGE isolation des murs par l'extérieur (ADEME) ; mot-clé dans le nom/enseigne ; NAF 43.32A BTP cohérent</t>
  </si>
  <si>
    <t>849319868</t>
  </si>
  <si>
    <t>CYRILLE TESSON (SAPE ATLANTIQUE)</t>
  </si>
  <si>
    <t>ROCHE SUR YON (LA)</t>
  </si>
  <si>
    <t>85000</t>
  </si>
  <si>
    <t>RGE isolation des murs par l'extérieur (ADEME) ; NAF 43.33Z BTP cohérent</t>
  </si>
  <si>
    <t>412482366</t>
  </si>
  <si>
    <t>FAUCHARD DECORATION - SOCIETE HERBRETAISE DE RAVALEMENT (FAUCHARD DECORATION)</t>
  </si>
  <si>
    <t>LES HERBIERS</t>
  </si>
  <si>
    <t>85500</t>
  </si>
  <si>
    <t>825179518</t>
  </si>
  <si>
    <t>JC RAVALEMENT (JC RAVALEMENT)</t>
  </si>
  <si>
    <t>MONTAIGU-VENDEE</t>
  </si>
  <si>
    <t>85600</t>
  </si>
  <si>
    <t>302695218</t>
  </si>
  <si>
    <t>PEINTURE PAPIERS RAVALEMENT VITRERIE (PPRV)</t>
  </si>
  <si>
    <t>LE POIRE-SUR-VIE</t>
  </si>
  <si>
    <t>85170</t>
  </si>
  <si>
    <t>482522281</t>
  </si>
  <si>
    <t>VENDEE FACADE</t>
  </si>
  <si>
    <t>AUBIGNY-LES CLOUZEAUX</t>
  </si>
  <si>
    <t>85430</t>
  </si>
  <si>
    <t>RGE isolation des murs par l'extérieur (ADEME) ; site web : enduit, facade, facadier, isolation thermique par l'exterieur, ite, ravalement ; mot-clé dans le nom/enseigne ; NAF 43.99C BTP cohérent</t>
  </si>
  <si>
    <t>880744305</t>
  </si>
  <si>
    <t>LM FACADE</t>
  </si>
  <si>
    <t>LES ORMES</t>
  </si>
  <si>
    <t>86220</t>
  </si>
  <si>
    <t>86</t>
  </si>
  <si>
    <t>499355212</t>
  </si>
  <si>
    <t>COTE MURS (RAVALEMENTS DE FACADES MACONNERIE PROJECTION D'ENDUIT HYDRAULIQUE REJO)</t>
  </si>
  <si>
    <t>LE PALAIS-SUR-VIENNE</t>
  </si>
  <si>
    <t>87410</t>
  </si>
  <si>
    <t>87</t>
  </si>
  <si>
    <t>808607279</t>
  </si>
  <si>
    <t>RPGP FACADES LIMOGES</t>
  </si>
  <si>
    <t>SAINT-YRIEIX-LA-PERCHE</t>
  </si>
  <si>
    <t>87500</t>
  </si>
  <si>
    <t>811800291</t>
  </si>
  <si>
    <t>SARL LIMOUSIN FACADES</t>
  </si>
  <si>
    <t>NIEUL</t>
  </si>
  <si>
    <t>87510</t>
  </si>
  <si>
    <t>878300797</t>
  </si>
  <si>
    <t>DEO FACADES</t>
  </si>
  <si>
    <t>PAIR-ET-GRANDRUPT</t>
  </si>
  <si>
    <t>88100</t>
  </si>
  <si>
    <t>88</t>
  </si>
  <si>
    <t>bardage, isolation int./ext., enduits de façade</t>
  </si>
  <si>
    <t>https://www.pappers.fr/entreprise/deo-facades-878300797</t>
  </si>
  <si>
    <t>481862035</t>
  </si>
  <si>
    <t>CF BELFORT (CABETE FACADES / CABETE ECHAFAUDAGE)</t>
  </si>
  <si>
    <t>TREVENANS</t>
  </si>
  <si>
    <t>90400</t>
  </si>
  <si>
    <t>90</t>
  </si>
  <si>
    <t>RGE isolation des murs par l'extérieur (ADEME) ; site web : crepi, enduit, facade, isolation exterieur, isolation thermique par l'exterieur, ite, ravalement ; mot-clé dans le nom/enseigne ; NAF 43.29A BTP cohérent</t>
  </si>
  <si>
    <t>829772219</t>
  </si>
  <si>
    <t>A2 FACADE</t>
  </si>
  <si>
    <t>VIGNEUX-SUR-SEINE</t>
  </si>
  <si>
    <t>91270</t>
  </si>
  <si>
    <t>91</t>
  </si>
  <si>
    <t>activité isolation ; façade non explicite ; activité déclarée au greffe : tous travaux d'isolation extérieure, bardage, menuiserie, charpente, conseils en bâtiment, achat et vente de tous matériels liés à l'activité.</t>
  </si>
  <si>
    <t>https://www.bodacc.fr/ (SIREN 829772219)</t>
  </si>
  <si>
    <t>440341238</t>
  </si>
  <si>
    <t>AGENCEMENT ISOLATION RAVALEMENT RENOVAT (AIRR)</t>
  </si>
  <si>
    <t>SAINT-PIERRE-DU-PERRAY</t>
  </si>
  <si>
    <t>91280</t>
  </si>
  <si>
    <t>RGE isolation des murs par l'extérieur (ADEME) ; site web : bardage, facade, ravalement, vetage, veture ; mot-clé dans le nom/enseigne ; NAF 43.34Z BTP cohérent</t>
  </si>
  <si>
    <t>890283195</t>
  </si>
  <si>
    <t>AKSU FACADES</t>
  </si>
  <si>
    <t>RIS-ORANGIS</t>
  </si>
  <si>
    <t>91130</t>
  </si>
  <si>
    <t>534501630</t>
  </si>
  <si>
    <t>ALMEIDA RAVALEMENT</t>
  </si>
  <si>
    <t>ETRECHY</t>
  </si>
  <si>
    <t>91580</t>
  </si>
  <si>
    <t>ravalement de façades (PagesJaunes), 10 salariés</t>
  </si>
  <si>
    <t>https://www.pagesjaunes.fr/pros/62212047</t>
  </si>
  <si>
    <t>978124345</t>
  </si>
  <si>
    <t>BARDAGE FACADE ISOLATION (B F I) (B F I)</t>
  </si>
  <si>
    <t>LISSES</t>
  </si>
  <si>
    <t>91090</t>
  </si>
  <si>
    <t>851238055</t>
  </si>
  <si>
    <t>C A RAVALEMENT</t>
  </si>
  <si>
    <t>BRIERES-LES-SCELLES</t>
  </si>
  <si>
    <t>91150</t>
  </si>
  <si>
    <t>maçonnerie et ravalement de façades</t>
  </si>
  <si>
    <t>https://fr.kompass.com/c/c-a-ravalement/fra05g9t2/</t>
  </si>
  <si>
    <t>908729866</t>
  </si>
  <si>
    <t>CMR FACADE</t>
  </si>
  <si>
    <t>objet social : maçonnerie générale et travaux de façade</t>
  </si>
  <si>
    <t>https://www.annonces-legales.fr/consultation/ile-de-france/essonne-91/cmr-facade-479293</t>
  </si>
  <si>
    <t>419724745</t>
  </si>
  <si>
    <t>FACADES INGENIERIE CONSTRUCTION (F I C)</t>
  </si>
  <si>
    <t>DRAVEIL</t>
  </si>
  <si>
    <t>91210</t>
  </si>
  <si>
    <t>façade légère : menuiserie métallique / façades (20-49 salariés, filiale Veolia)</t>
  </si>
  <si>
    <t>https://www.societe.com/societe/facades-ingenierie-construction-419724745.html</t>
  </si>
  <si>
    <t>919587626</t>
  </si>
  <si>
    <t>LKN FACADES</t>
  </si>
  <si>
    <t>400751491</t>
  </si>
  <si>
    <t>MICHOT BATIMENT - FACADES DE PARIS</t>
  </si>
  <si>
    <t>GRIGNY</t>
  </si>
  <si>
    <t>91350</t>
  </si>
  <si>
    <t>ravalement de copropriétés depuis 1936</t>
  </si>
  <si>
    <t>https://michotbatiment.fr/</t>
  </si>
  <si>
    <t>491758009</t>
  </si>
  <si>
    <t>PLAQUETTES MACONNERIE RAVALEMENT (P M R)</t>
  </si>
  <si>
    <t>EVRY-COURCOURONNES</t>
  </si>
  <si>
    <t>91000</t>
  </si>
  <si>
    <t>887490290</t>
  </si>
  <si>
    <t>PRO FACADES</t>
  </si>
  <si>
    <t>MENNECY</t>
  </si>
  <si>
    <t>91540</t>
  </si>
  <si>
    <t>ravalement, bardage, isolation, peinture</t>
  </si>
  <si>
    <t>https://www.societe.com/societe/pro-facades-887490290.html</t>
  </si>
  <si>
    <t>489654509</t>
  </si>
  <si>
    <t>SOCIETE RAVALEMENT ISOLATION DE FACADES (S R I F)</t>
  </si>
  <si>
    <t>SAINTE-GENEVIEVE-DES-BOIS</t>
  </si>
  <si>
    <t>91700</t>
  </si>
  <si>
    <t>908811516</t>
  </si>
  <si>
    <t>VN FACADE (VN FACADE)</t>
  </si>
  <si>
    <t>ETAMPES</t>
  </si>
  <si>
    <t>907936595</t>
  </si>
  <si>
    <t>3M RAVALEMENT</t>
  </si>
  <si>
    <t>COLOMBES</t>
  </si>
  <si>
    <t>92700</t>
  </si>
  <si>
    <t>92</t>
  </si>
  <si>
    <t>https://www.pappers.fr/entreprise/3m-ravalement-907936595</t>
  </si>
  <si>
    <t>411033137</t>
  </si>
  <si>
    <t>CIE PARISIENNE PEINTURE RAVALEMENT (CPPR)</t>
  </si>
  <si>
    <t>CLICHY</t>
  </si>
  <si>
    <t>92110</t>
  </si>
  <si>
    <t>811172394</t>
  </si>
  <si>
    <t>FRAGA RAVALEMENT</t>
  </si>
  <si>
    <t>ISSY-LES-MOULINEAUX</t>
  </si>
  <si>
    <t>92130</t>
  </si>
  <si>
    <t>ravalement de façades (maisons, immeubles, bâtiments industriels)</t>
  </si>
  <si>
    <t>https://dreelo.fr/macon/issy-les-moulineaux/fraga-ravalement-a76c48</t>
  </si>
  <si>
    <t>814019618</t>
  </si>
  <si>
    <t>SPR (SOCIETE PEINTURE RAVALEMENT)</t>
  </si>
  <si>
    <t>NANTERRE</t>
  </si>
  <si>
    <t>92000</t>
  </si>
  <si>
    <t>activité déclarée : peinture et ravalement.</t>
  </si>
  <si>
    <t>https://www.bodacc.fr/ (SIREN 814019618)</t>
  </si>
  <si>
    <t>440339513</t>
  </si>
  <si>
    <t>SPR RAVALEMENT</t>
  </si>
  <si>
    <t>NEUILLY-SUR-SEINE</t>
  </si>
  <si>
    <t>92200</t>
  </si>
  <si>
    <t>808910103</t>
  </si>
  <si>
    <t>ACCROVER (CONCEPT FACADE)</t>
  </si>
  <si>
    <t>LE BLANC-MESNIL</t>
  </si>
  <si>
    <t>93150</t>
  </si>
  <si>
    <t>93</t>
  </si>
  <si>
    <t>façade légère : façades vitrées, enveloppe (NAF menuiserie métallique)</t>
  </si>
  <si>
    <t>https://accrover.com/</t>
  </si>
  <si>
    <t>922387584</t>
  </si>
  <si>
    <t>AKSIN FACADE</t>
  </si>
  <si>
    <t>DRANCY</t>
  </si>
  <si>
    <t>93700</t>
  </si>
  <si>
    <t>509299293</t>
  </si>
  <si>
    <t>ARTI FACADES</t>
  </si>
  <si>
    <t>VAUJOURS</t>
  </si>
  <si>
    <t>93410</t>
  </si>
  <si>
    <t>412916074</t>
  </si>
  <si>
    <t>BATIMENT PEINTURE VITRERIE RAVALEMENT (BPVR)</t>
  </si>
  <si>
    <t>NOISY-LE-SEC</t>
  </si>
  <si>
    <t>93130</t>
  </si>
  <si>
    <t>RGE isolation des murs par l'extérieur (ADEME) ; site web : enduit, ite, ravalement ; mot-clé dans le nom/enseigne ; NAF 43.34Z BTP cohérent</t>
  </si>
  <si>
    <t>911571354</t>
  </si>
  <si>
    <t>DMC BARDAGE</t>
  </si>
  <si>
    <t>EPINAY-SUR-SEINE</t>
  </si>
  <si>
    <t>93800</t>
  </si>
  <si>
    <t>activité déclarée : isolation, bardage, étanchéité.</t>
  </si>
  <si>
    <t>https://www.bodacc.fr/ (SIREN 911571354)</t>
  </si>
  <si>
    <t>881811665</t>
  </si>
  <si>
    <t>E.D.M FACADES</t>
  </si>
  <si>
    <t>BONDY</t>
  </si>
  <si>
    <t>93140</t>
  </si>
  <si>
    <t>sources = annuaires uniquement ; activité déclarée au greffe : ravalement, peinture, ite, enduit, petites maçonneries.</t>
  </si>
  <si>
    <t>https://www.bodacc.fr/ (SIREN 881811665)</t>
  </si>
  <si>
    <t>519041206</t>
  </si>
  <si>
    <t>EURO BARDAGE</t>
  </si>
  <si>
    <t>VILLEPINTE</t>
  </si>
  <si>
    <t>93420</t>
  </si>
  <si>
    <t>activité déclarée : bardage étanchéité.</t>
  </si>
  <si>
    <t>https://www.bodacc.fr/ (SIREN 519041206)</t>
  </si>
  <si>
    <t>838151694</t>
  </si>
  <si>
    <t>FACADE MULTISERVICES</t>
  </si>
  <si>
    <t>objet social : bardage, étanchéité</t>
  </si>
  <si>
    <t>https://www.pappers.fr/entreprise/facade-multiservices-838151694</t>
  </si>
  <si>
    <t>503204547</t>
  </si>
  <si>
    <t>G.M. RAVALEMENT</t>
  </si>
  <si>
    <t>sources = annuaires uniquement ; NAF construction de bâtiments ; activité déclarée au greffe : en France et à l'étranger la réalisation directement ou indirectement de toute activité de ravalement et de petite maçonnerie.</t>
  </si>
  <si>
    <t>https://www.bodacc.fr/ (SIREN 503204547)</t>
  </si>
  <si>
    <t>819549023</t>
  </si>
  <si>
    <t>HM RAVALEMENT</t>
  </si>
  <si>
    <t>AULNAY-SOUS-BOIS</t>
  </si>
  <si>
    <t>93600</t>
  </si>
  <si>
    <t>RGE isolation des murs par l'extérieur (ADEME) ; site web : bardage, enduit, facade, isolation par l'exterieur, isolation thermique par l'exterieur, ite, ravalement ; mot-clé dans le nom/enseigne ; NAF 43.99C BTP cohérent</t>
  </si>
  <si>
    <t>804462851</t>
  </si>
  <si>
    <t>SEVRAN</t>
  </si>
  <si>
    <t>93270</t>
  </si>
  <si>
    <t>529318586</t>
  </si>
  <si>
    <t>ISOL BAT RAVALEMENT</t>
  </si>
  <si>
    <t>501428577</t>
  </si>
  <si>
    <t>KHEPHREN-FACADES</t>
  </si>
  <si>
    <t>RGE isolation des murs par l'extérieur (ADEME) ; site web : bardage, enduit, facade, isolation thermique par l'exterieur, ite, ravalement ; mot-clé dans le nom/enseigne ; NAF 43.99C BTP cohérent</t>
  </si>
  <si>
    <t>950839530</t>
  </si>
  <si>
    <t>LIVRY-GARGAN</t>
  </si>
  <si>
    <t>93190</t>
  </si>
  <si>
    <t>ravalement, ITE, plâtrerie</t>
  </si>
  <si>
    <t>https://www.pappers.fr/entreprise/pro-ravalement-950839530</t>
  </si>
  <si>
    <t>820686103</t>
  </si>
  <si>
    <t>R13 FACADES</t>
  </si>
  <si>
    <t>LES PAVILLONS-SOUS-BOIS</t>
  </si>
  <si>
    <t>93320</t>
  </si>
  <si>
    <t>façade légère : façades aluminium et vitrées (NAF menuiserie)</t>
  </si>
  <si>
    <t>https://omizi.com/professionnel/r13-facades</t>
  </si>
  <si>
    <t>534219761</t>
  </si>
  <si>
    <t>RAVALEMENT FACADE</t>
  </si>
  <si>
    <t>maçonnerie et ravalement de façades (sous-traitance)</t>
  </si>
  <si>
    <t>https://www.pagesjaunes.fr/pros/56157365</t>
  </si>
  <si>
    <t>379547813</t>
  </si>
  <si>
    <t>RAVALEMENT PEINTURE ISOLATION (RPI)</t>
  </si>
  <si>
    <t>MONTREUIL</t>
  </si>
  <si>
    <t>93100</t>
  </si>
  <si>
    <t>484330840</t>
  </si>
  <si>
    <t>SAMED FACADE (A.M.E.D.)</t>
  </si>
  <si>
    <t>RGE isolation des murs par l'extérieur (ADEME) ; site web : facade, facadier, ravalement ; mot-clé dans le nom/enseigne ; NAF 43.99C BTP cohérent</t>
  </si>
  <si>
    <t>382878726</t>
  </si>
  <si>
    <t>SOCIETE FRANCILIENNE DE BARDAGE CHARPENTE ET COUVERTURE (FBCC)</t>
  </si>
  <si>
    <t>STAINS</t>
  </si>
  <si>
    <t>93240</t>
  </si>
  <si>
    <t>400553350</t>
  </si>
  <si>
    <t>SOCIETE TAVARES RAVALEMENT PROJETE (STRP)</t>
  </si>
  <si>
    <t>activité déclarée : ravalement de façade en pierre, bardage, ravalement projeté, dallage, marbrerie, petite maçonnerie, peinture extérieure. / ravalement, maçonnerie.</t>
  </si>
  <si>
    <t>https://www.bodacc.fr/ (SIREN 400553350)</t>
  </si>
  <si>
    <t>821666153</t>
  </si>
  <si>
    <t>T.D RAVALEMENT</t>
  </si>
  <si>
    <t>objet social : réfection et rénovation de façades, enduits</t>
  </si>
  <si>
    <t>https://www.pappers.fr/entreprise/td-ravalement-821666153</t>
  </si>
  <si>
    <t>799196050</t>
  </si>
  <si>
    <t>BTI RAVALEMENT</t>
  </si>
  <si>
    <t>VITRY-SUR-SEINE</t>
  </si>
  <si>
    <t>94400</t>
  </si>
  <si>
    <t>94</t>
  </si>
  <si>
    <t>501730733</t>
  </si>
  <si>
    <t>C.F.P. RAVALEMENT</t>
  </si>
  <si>
    <t>LE PLESSIS-TREVISE</t>
  </si>
  <si>
    <t>94420</t>
  </si>
  <si>
    <t>494472046</t>
  </si>
  <si>
    <t>FACADES RENOV</t>
  </si>
  <si>
    <t>RGE isolation des murs par l'extérieur (ADEME) ; site web : enduit, facade, ravalement ; mot-clé dans le nom/enseigne ; NAF 43.34Z BTP cohérent</t>
  </si>
  <si>
    <t>531538478</t>
  </si>
  <si>
    <t>GOUIDER RAVALEMENT</t>
  </si>
  <si>
    <t>VILLECRESNES</t>
  </si>
  <si>
    <t>94440</t>
  </si>
  <si>
    <t>ravalement, rejointoiement, ITE, pierre (RGE)</t>
  </si>
  <si>
    <t>https://www.batiref.fr/pro/gouider</t>
  </si>
  <si>
    <t>520664772</t>
  </si>
  <si>
    <t>ILE DE FRANCE FACADES (IDF FACADES)</t>
  </si>
  <si>
    <t>VILLENEUVE-LE-ROI</t>
  </si>
  <si>
    <t>94290</t>
  </si>
  <si>
    <t>RGE isolation des murs par l'extérieur (ADEME) ; site web : enduit, facade, isolation thermique exterieur, ite, ravalement ; mot-clé dans le nom/enseigne ; NAF 41.20B BTP cohérent</t>
  </si>
  <si>
    <t>433868304</t>
  </si>
  <si>
    <t>RENOVATION PEINTURE RAVALEMENT SOLS (RPRS)</t>
  </si>
  <si>
    <t>ALFORTVILLE</t>
  </si>
  <si>
    <t>94140</t>
  </si>
  <si>
    <t>499962959</t>
  </si>
  <si>
    <t>SARL DECO 2R DECORATION PEINTURE RAVALEMENT RENOVATION</t>
  </si>
  <si>
    <t>CHAMPIGNY-SUR-MARNE</t>
  </si>
  <si>
    <t>94500</t>
  </si>
  <si>
    <t>RGE isolation des murs par l'extérieur (ADEME) ; site web : enduit, facade, isolation thermique exterieur, isolation thermique par l'exterieur, ite, ravalement ; mot-clé dans le nom/enseigne ; NAF 43.34Z BTP cohérent</t>
  </si>
  <si>
    <t>572054732</t>
  </si>
  <si>
    <t>SOCIETE D ENDUIT ET DE RAVALEMENT (SER)</t>
  </si>
  <si>
    <t>VILLEJUIF</t>
  </si>
  <si>
    <t>94800</t>
  </si>
  <si>
    <t>objet social : enduits, ravalements (depuis 1957)</t>
  </si>
  <si>
    <t>https://www.pagesjaunes.fr/pros/02505104</t>
  </si>
  <si>
    <t>315043299</t>
  </si>
  <si>
    <t>BARDAGE ETANCHEITE COUVERT ISOLATION BTP</t>
  </si>
  <si>
    <t>MONTSOULT</t>
  </si>
  <si>
    <t>95560</t>
  </si>
  <si>
    <t>95</t>
  </si>
  <si>
    <t>RGE isolation des murs par l'extérieur (ADEME) ; site web : bardage ; mot-clé dans le nom/enseigne ; NAF 43.91B BTP cohérent</t>
  </si>
  <si>
    <t>434702528</t>
  </si>
  <si>
    <t>EBC (ETANCHEITE BARDAGE COUVERTURE)</t>
  </si>
  <si>
    <t>DOMONT</t>
  </si>
  <si>
    <t>95330</t>
  </si>
  <si>
    <t>activité déclarée : travaux d'Étanchéification, couverture, bardage, maçonnerie, peinture, revêtement sol et mur.</t>
  </si>
  <si>
    <t>https://www.bodacc.fr/ (SIREN 434702528)</t>
  </si>
  <si>
    <t>501448039</t>
  </si>
  <si>
    <t>ARGENTEUIL</t>
  </si>
  <si>
    <t>95100</t>
  </si>
  <si>
    <t>enveloppe du bâtiment (protection, isolation, embellissement des façades)</t>
  </si>
  <si>
    <t>https://fr.linkedin.com/company/euro-facade.com</t>
  </si>
  <si>
    <t>790267819</t>
  </si>
  <si>
    <t>HORIZON COUVERTURE RAVALEMENT</t>
  </si>
  <si>
    <t>CORMEILLES-EN-PARISIS</t>
  </si>
  <si>
    <t>95240</t>
  </si>
  <si>
    <t>881807572</t>
  </si>
  <si>
    <t>IDF BARDAGE (IDF BARDAGE)</t>
  </si>
  <si>
    <t>activité déclarée : couverture, étanchéité, isolation, bardages, tout corps d'état</t>
  </si>
  <si>
    <t>https://www.bodacc.fr/ (SIREN 881807572)</t>
  </si>
  <si>
    <t>419872858</t>
  </si>
  <si>
    <t>INTER FACADES</t>
  </si>
  <si>
    <t>SAINT-OUEN-L'AUMONE</t>
  </si>
  <si>
    <t>95310</t>
  </si>
  <si>
    <t>RGE isolation des murs par l'extérieur (ADEME) ; site web : facade, isolation exterieur, isolation thermique exterieur, ite, ravalement ; mot-clé dans le nom/enseigne ; NAF 43.34Z BTP cohérent</t>
  </si>
  <si>
    <t>440988178</t>
  </si>
  <si>
    <t>LES ARTISANS FACADE ILE FRANCE NORD</t>
  </si>
  <si>
    <t>PONTOISE</t>
  </si>
  <si>
    <t>95300</t>
  </si>
  <si>
    <t>848953956</t>
  </si>
  <si>
    <t>MIRA (MIRA FACADE)</t>
  </si>
  <si>
    <t>LE THILLAY</t>
  </si>
  <si>
    <t>95500</t>
  </si>
  <si>
    <t>808072037</t>
  </si>
  <si>
    <t>PRO FACADE IDF</t>
  </si>
  <si>
    <t>VILLIERS-LE-BEL</t>
  </si>
  <si>
    <t>95400</t>
  </si>
  <si>
    <t>852461375</t>
  </si>
  <si>
    <t>SABAN RAVALEMENT</t>
  </si>
  <si>
    <t>ERMONT</t>
  </si>
  <si>
    <t>95120</t>
  </si>
  <si>
    <t>nettoyage, rejointoiement, façades, ITE</t>
  </si>
  <si>
    <t>https://www.mon-macon.net/entreprise/saban-ravalement-852461375/</t>
  </si>
  <si>
    <t>Entreprises à vérifier, douteuses, hors cible ou sous alerte</t>
  </si>
  <si>
    <t>Probables et douteux à vérifier ; hors cible avec motif ; confirmés en procédure collective.</t>
  </si>
  <si>
    <t>500852819</t>
  </si>
  <si>
    <t>FACADE ALU'12</t>
  </si>
  <si>
    <t>Vigilance : redressement judiciaire en cours</t>
  </si>
  <si>
    <t>ONET-LE-CHATEAU</t>
  </si>
  <si>
    <t>12850</t>
  </si>
  <si>
    <t>RGE isolation des murs par l'extérieur (ADEME) ; site web : crepi, enduit, facade, isolation exterieur, ravalement, veture ; mot-clé dans le nom/enseigne ; NAF 43.29A BTP cohérent</t>
  </si>
  <si>
    <t>409596244</t>
  </si>
  <si>
    <t>NOUVELLE AQUITAINE RAVALEMENT (NAR)</t>
  </si>
  <si>
    <t>Radiée au BODACC</t>
  </si>
  <si>
    <t>ROYAN</t>
  </si>
  <si>
    <t>17200</t>
  </si>
  <si>
    <t>844247460</t>
  </si>
  <si>
    <t>RAVALEMENT DE FRANCE 44 (R.D.F. 44)</t>
  </si>
  <si>
    <t>NE PAS PROSPECTER : liquidation judiciaire</t>
  </si>
  <si>
    <t>SAINT-MEDARD-D'AUNIS</t>
  </si>
  <si>
    <t>17220</t>
  </si>
  <si>
    <t>activité déclarée : réalisation d'enduit de façades de sablage de façades nettoyage de façades peinture en bâtiment</t>
  </si>
  <si>
    <t>https://www.bodacc.fr/ (SIREN 844247460)</t>
  </si>
  <si>
    <t>492274543</t>
  </si>
  <si>
    <t>MF HABILLEZ VOS FACADES</t>
  </si>
  <si>
    <t>NE PAS PROSPECTER : plan de cession</t>
  </si>
  <si>
    <t>MALATAVERNE</t>
  </si>
  <si>
    <t>26780</t>
  </si>
  <si>
    <t>ravalement, enduits, bardage (devenu Indigo MF, Indigo Groupe)</t>
  </si>
  <si>
    <t>https://www.indigogroupe.fr/details-indigo+mf-765</t>
  </si>
  <si>
    <t>509730743</t>
  </si>
  <si>
    <t>SERVICE ASSISTANCE BARDAGE ETANCHEITE (SABE)</t>
  </si>
  <si>
    <t>LES VILLAGES VOVEENS</t>
  </si>
  <si>
    <t>28150</t>
  </si>
  <si>
    <t>activité déclarée : Bardage étanchéité</t>
  </si>
  <si>
    <t>https://www.bodacc.fr/ (SIREN 509730743)</t>
  </si>
  <si>
    <t>481615490</t>
  </si>
  <si>
    <t>DRISS TIZMART (DST PLATRE FACADES)</t>
  </si>
  <si>
    <t>PORTO-VECCHIO</t>
  </si>
  <si>
    <t>20137</t>
  </si>
  <si>
    <t>https://fr.mappy.com/poi/6606480345446c544deaa9d3</t>
  </si>
  <si>
    <t>533835260</t>
  </si>
  <si>
    <t>SAINT GENIES BATIMENT FACADES - SGBF (SGBF)</t>
  </si>
  <si>
    <t>Vigilance : sauvegarde en cours</t>
  </si>
  <si>
    <t>SAINT-GENIES-DE-MALGOIRES</t>
  </si>
  <si>
    <t>réhabilitation de façades, ITE</t>
  </si>
  <si>
    <t>https://www.pagesjaunes.fr/pros/55608996</t>
  </si>
  <si>
    <t>833611585</t>
  </si>
  <si>
    <t>BRL FACADES</t>
  </si>
  <si>
    <t>TOULOUSE</t>
  </si>
  <si>
    <t>31100</t>
  </si>
  <si>
    <t>façadier (enduits, rénovation façade, ITE) ; EN REDRESSEMENT JUDICIAIRE</t>
  </si>
  <si>
    <t>https://www.brl-facades-toulouse.fr/</t>
  </si>
  <si>
    <t>534958327</t>
  </si>
  <si>
    <t>NATUREL FACADES (NATUREL FACADES)</t>
  </si>
  <si>
    <t>enduits décoratifs de façade + ITE (neuf/rénovation)</t>
  </si>
  <si>
    <t>https://juniorfacades.fr/</t>
  </si>
  <si>
    <t>487579690</t>
  </si>
  <si>
    <t>SOL FACADE</t>
  </si>
  <si>
    <t>NOE</t>
  </si>
  <si>
    <t>31410</t>
  </si>
  <si>
    <t>RGE isolation des murs par l'extérieur (ADEME) ; site web : bardage, enduit, facade, ravalement ; mot-clé dans le nom/enseigne ; NAF 43.33Z BTP cohérent</t>
  </si>
  <si>
    <t>472202845</t>
  </si>
  <si>
    <t>SOC RENOVATION ENTRETIEN FACADES BETON</t>
  </si>
  <si>
    <t>LORMONT</t>
  </si>
  <si>
    <t>33310</t>
  </si>
  <si>
    <t>SOREFAB : rénovation/étanchéité de façades béton, 50-99 salariés</t>
  </si>
  <si>
    <t>https://www.prodestravaux.com/entreprise/47220284500112</t>
  </si>
  <si>
    <t>840973366</t>
  </si>
  <si>
    <t>LES FACADES VERTES (LES FACADES VERTES)</t>
  </si>
  <si>
    <t>travaux de façade, rénovation d'enveloppe, ITE</t>
  </si>
  <si>
    <t>https://lesfacadesvertes.fr/</t>
  </si>
  <si>
    <t>842901589</t>
  </si>
  <si>
    <t>DA SILVA RAVALEMENT</t>
  </si>
  <si>
    <t>BLOIS</t>
  </si>
  <si>
    <t>ravalement, peinture, ITE, imperméabilisation</t>
  </si>
  <si>
    <t>https://www.pagesjaunes.fr/pros/57651911</t>
  </si>
  <si>
    <t>510390230</t>
  </si>
  <si>
    <t>ATLANTHERM FACADES</t>
  </si>
  <si>
    <t>PAULX</t>
  </si>
  <si>
    <t>44270</t>
  </si>
  <si>
    <t>façades : bardage, ITE, enduits</t>
  </si>
  <si>
    <t>https://www.pagesjaunes.fr/pros/00538340</t>
  </si>
  <si>
    <t>508902004</t>
  </si>
  <si>
    <t>MULTI-FACADES</t>
  </si>
  <si>
    <t>DOUAI</t>
  </si>
  <si>
    <t>59500</t>
  </si>
  <si>
    <t>ravalement de façades et toitures, ITE</t>
  </si>
  <si>
    <t>https://annuaire-entreprises.data.gouv.fr/entreprise/508902004 (source d'origine hors ligne au 26/09/2026 : https://www.multi-facades62.fr/contact)</t>
  </si>
  <si>
    <t>828232272</t>
  </si>
  <si>
    <t>R.H.D.F (RAVALEMENT HAUTS-DE-FRANCE)</t>
  </si>
  <si>
    <t>OUTREAU</t>
  </si>
  <si>
    <t>62230</t>
  </si>
  <si>
    <t>activité déclarée : Peinture, ravalement, étanchéité de façades, revêtements et rénovation des sols et murs, isolation extérieure, bardage, vitrerie, achat et revente de biens mobiliers et immobiliers.</t>
  </si>
  <si>
    <t>https://www.bodacc.fr/ (SIREN 828232272)</t>
  </si>
  <si>
    <t>878266899</t>
  </si>
  <si>
    <t>RSN FACADE</t>
  </si>
  <si>
    <t>SALLAUMINES</t>
  </si>
  <si>
    <t>62430</t>
  </si>
  <si>
    <t>ravalement, isolation, enduits</t>
  </si>
  <si>
    <t>https://www.pagesjaunes.fr/pros/60651429</t>
  </si>
  <si>
    <t>912726718</t>
  </si>
  <si>
    <t>ENDUIT 66 FACADES</t>
  </si>
  <si>
    <t>PERPIGNAN</t>
  </si>
  <si>
    <t>66000</t>
  </si>
  <si>
    <t>enduits de façade (neuf et rénovation)</t>
  </si>
  <si>
    <t>https://www.enduit66facades.fr/</t>
  </si>
  <si>
    <t>814555157</t>
  </si>
  <si>
    <t>MS FACADE</t>
  </si>
  <si>
    <t>objet social : bardage et isolation de façades (direct ou sous-traitance)</t>
  </si>
  <si>
    <t>https://www.pappers.fr/entreprise/ms-facade-814555157</t>
  </si>
  <si>
    <t>534723127</t>
  </si>
  <si>
    <t>SARL RNS FACADES</t>
  </si>
  <si>
    <t>66100</t>
  </si>
  <si>
    <t>ravalement de façades, peinture, revêtements</t>
  </si>
  <si>
    <t>https://www.rnsfacades.fr/</t>
  </si>
  <si>
    <t>379441389</t>
  </si>
  <si>
    <t>PINTO FRERES RAVALEMENT</t>
  </si>
  <si>
    <t>DIGOIN</t>
  </si>
  <si>
    <t>71160</t>
  </si>
  <si>
    <t>ravalement, ITE, bardage, imperméabilisation (RGE), 20 salariés</t>
  </si>
  <si>
    <t>https://annuaire-entreprises.data.gouv.fr/entreprise/379441389 (source d'origine hors ligne au 26/09/2026 : https://www.pinto-ravalement.fr/)</t>
  </si>
  <si>
    <t>978320570</t>
  </si>
  <si>
    <t>GTI RAVALEMENT</t>
  </si>
  <si>
    <t>aucune source métier trouvée ; activité déclarée au greffe : Travaux de décoration, serrurerie, peinture, ravalement, isolation.</t>
  </si>
  <si>
    <t>https://www.bodacc.fr/ (SIREN 978320570)</t>
  </si>
  <si>
    <t>904780921</t>
  </si>
  <si>
    <t>RAVAL FACADE</t>
  </si>
  <si>
    <t>GRAND-COURONNE</t>
  </si>
  <si>
    <t>76530</t>
  </si>
  <si>
    <t>ravalement de façades, isolation</t>
  </si>
  <si>
    <t>https://www.pappers.fr/entreprise/raval-facade-904780921</t>
  </si>
  <si>
    <t>910985613</t>
  </si>
  <si>
    <t>SEINE FACADE (SEINE FACADES)</t>
  </si>
  <si>
    <t>RGE isolation des murs par l'extérieur (fiche annuaire RGE)</t>
  </si>
  <si>
    <t>https://www.france-artisan.fr/annuaire-rge/entreprise/91098561300017</t>
  </si>
  <si>
    <t>441401635</t>
  </si>
  <si>
    <t>ALVES RAVALEMENT</t>
  </si>
  <si>
    <t>POUZAUGES</t>
  </si>
  <si>
    <t>85700</t>
  </si>
  <si>
    <t>RGE isolation des murs par l'extérieur (ADEME) ; site web : enduit, facade, facadier, ravalement ; mot-clé dans le nom/enseigne ; NAF 43.39Z BTP cohérent</t>
  </si>
  <si>
    <t>390436194</t>
  </si>
  <si>
    <t>JFC RAVALEMENT</t>
  </si>
  <si>
    <t>COUZEIX</t>
  </si>
  <si>
    <t>87270</t>
  </si>
  <si>
    <t>enduits de façade, ITE (RGE), 13 salariés</t>
  </si>
  <si>
    <t>https://annuaire-entreprises.data.gouv.fr/entreprise/390436194 (source d'origine hors ligne au 26/09/2026 : https://www.jfc87.com/)</t>
  </si>
  <si>
    <t>979505070</t>
  </si>
  <si>
    <t>LIDIL FACADE</t>
  </si>
  <si>
    <t>ravalement, ITE, peinture, maçonnerie</t>
  </si>
  <si>
    <t>https://www.francereprises.com/vigie/entreprise/979505070</t>
  </si>
  <si>
    <t>848595757</t>
  </si>
  <si>
    <t>SARL TOP BARDAGE FORNEIROS</t>
  </si>
  <si>
    <t>activité déclarée : bardage, maçonnerie, Tce.</t>
  </si>
  <si>
    <t>https://www.bodacc.fr/ (SIREN 848595757)</t>
  </si>
  <si>
    <t>793965963</t>
  </si>
  <si>
    <t>HD FACADES</t>
  </si>
  <si>
    <t>BONNEUIL-SUR-MARNE</t>
  </si>
  <si>
    <t>94380</t>
  </si>
  <si>
    <t>façade légère : menuiserie métallique, vêture, murs-rideaux</t>
  </si>
  <si>
    <t>https://www.hd-facades.fr/</t>
  </si>
  <si>
    <t>885361626</t>
  </si>
  <si>
    <t>D.A.F. COUVERTURE BARDAGE</t>
  </si>
  <si>
    <t>VICHY</t>
  </si>
  <si>
    <t>03200</t>
  </si>
  <si>
    <t>non vérifié (quota de 200 recherches web atteint)</t>
  </si>
  <si>
    <t>mot-clé dans le nom/enseigne ; NAF 43.91B BTP cohérent</t>
  </si>
  <si>
    <t>351963350</t>
  </si>
  <si>
    <t>SOCIETE DE RAVALEMENT D'ISOLATION ET D'ETANCHEITE (SORIE)</t>
  </si>
  <si>
    <t>LA ROQUETTE-SUR-SIAGNE</t>
  </si>
  <si>
    <t>06550</t>
  </si>
  <si>
    <t>mot-clé dans le nom/enseigne ; NAF 43.34Z BTP cohérent</t>
  </si>
  <si>
    <t>828250373</t>
  </si>
  <si>
    <t>OCCITANIE BATIMENT FACADE</t>
  </si>
  <si>
    <t>MONTREDON-DES-CORBIERES</t>
  </si>
  <si>
    <t>11100</t>
  </si>
  <si>
    <t>sources = annuaires uniquement ; NAF maçonnerie</t>
  </si>
  <si>
    <t>https://www.pappers.fr/entreprise/occitanie-batiment-facade-828250373</t>
  </si>
  <si>
    <t>902657063</t>
  </si>
  <si>
    <t>AYDIN FACADES</t>
  </si>
  <si>
    <t>PEYPIN</t>
  </si>
  <si>
    <t>13124</t>
  </si>
  <si>
    <t>activité décrite = maçonnerie de rénovation ; façade non explicite</t>
  </si>
  <si>
    <t>https://peypin.localbiz.fr/fiche-aydin-facades-13073-90265706300019</t>
  </si>
  <si>
    <t>815129960</t>
  </si>
  <si>
    <t>CHARPENTE COUVERTURE BARDAGE (CCB)</t>
  </si>
  <si>
    <t>BERRE-L'ETANG</t>
  </si>
  <si>
    <t>13130</t>
  </si>
  <si>
    <t>mot-clé dans le nom/enseigne ; NAF 43.99B BTP cohérent</t>
  </si>
  <si>
    <t>894901479</t>
  </si>
  <si>
    <t>RIP 13 RAVALEMENT ISOLATION PEINTURE 13</t>
  </si>
  <si>
    <t>mot-clé dans le nom/enseigne ; NAF 43.33Z BTP cohérent</t>
  </si>
  <si>
    <t>414887901</t>
  </si>
  <si>
    <t>SOCIETE DE TRAVAUX D' ETANCHEITE DE BARDAGE ET D'ISOLATION (STEBI)</t>
  </si>
  <si>
    <t>RUFFEY-LES-ECHIREY</t>
  </si>
  <si>
    <t>21490</t>
  </si>
  <si>
    <t>879989101</t>
  </si>
  <si>
    <t>QECB (QECB-ETANCHEITE-COUVERTURE-BARDAGE)</t>
  </si>
  <si>
    <t>840902183</t>
  </si>
  <si>
    <t>JOAQUIM SOUSA ANDRADE (JA  CHARPENTE BARDAGE)</t>
  </si>
  <si>
    <t>BASTIA</t>
  </si>
  <si>
    <t>20200</t>
  </si>
  <si>
    <t>mot-clé dans le nom/enseigne ; NAF 43.91A BTP cohérent</t>
  </si>
  <si>
    <t>397941162</t>
  </si>
  <si>
    <t>ENTREPRISE DE TRAVAUX ET DE RAVALEMENT (ETR)</t>
  </si>
  <si>
    <t>PLAISANCE-DU-TOUCH</t>
  </si>
  <si>
    <t>31830</t>
  </si>
  <si>
    <t>mot-clé dans le nom/enseigne ; NAF 43.39Z BTP cohérent</t>
  </si>
  <si>
    <t>331015685</t>
  </si>
  <si>
    <t>AQUITAINE BARDAGE COUVERTURE (AQUITAINE BARDAGE COUVERTURE&amp;QUOT;) (ABC)</t>
  </si>
  <si>
    <t>487943128</t>
  </si>
  <si>
    <t>BECEB (BARDAGE PAR ELEMENTS COUVERTURE ET ENVELOPPE BATIMENTS) (BECEB)</t>
  </si>
  <si>
    <t>LUDON-MEDOC</t>
  </si>
  <si>
    <t>33290</t>
  </si>
  <si>
    <t>837604297</t>
  </si>
  <si>
    <t>ALS FACADES (ALS FACADES)</t>
  </si>
  <si>
    <t>MARAUSSAN</t>
  </si>
  <si>
    <t>34370</t>
  </si>
  <si>
    <t>910405794</t>
  </si>
  <si>
    <t>AMI FACADE</t>
  </si>
  <si>
    <t>sources = annuaires uniquement (créée 2022)</t>
  </si>
  <si>
    <t>https://www.societe.com/societe/ami-facade-910405794.html</t>
  </si>
  <si>
    <t>432366425</t>
  </si>
  <si>
    <t>ENTREPRISE SIMOES RAVALEMENT</t>
  </si>
  <si>
    <t>VERN-SUR-SEICHE</t>
  </si>
  <si>
    <t>35770</t>
  </si>
  <si>
    <t>421775016</t>
  </si>
  <si>
    <t>SARL OP RAVALEMENT</t>
  </si>
  <si>
    <t>LA BOUEXIERE</t>
  </si>
  <si>
    <t>35340</t>
  </si>
  <si>
    <t>430093427</t>
  </si>
  <si>
    <t>COSTA-BARDAGE</t>
  </si>
  <si>
    <t>SAINT-CYR-SUR-LOIRE</t>
  </si>
  <si>
    <t>37540</t>
  </si>
  <si>
    <t>mot-clé dans le nom/enseigne ; NAF 43.99A BTP cohérent</t>
  </si>
  <si>
    <t>453896920</t>
  </si>
  <si>
    <t>MONNAIE</t>
  </si>
  <si>
    <t>37380</t>
  </si>
  <si>
    <t>511537169</t>
  </si>
  <si>
    <t>PRO BARDAGE</t>
  </si>
  <si>
    <t>CUSSAY</t>
  </si>
  <si>
    <t>37240</t>
  </si>
  <si>
    <t>810103317</t>
  </si>
  <si>
    <t>BMC BARDAGE</t>
  </si>
  <si>
    <t>VIENNE</t>
  </si>
  <si>
    <t>38200</t>
  </si>
  <si>
    <t>484147905</t>
  </si>
  <si>
    <t>MP BARDAGE</t>
  </si>
  <si>
    <t>CRISSEY</t>
  </si>
  <si>
    <t>39100</t>
  </si>
  <si>
    <t>313401549</t>
  </si>
  <si>
    <t>CENTRE D'ETANCHEITE ET DE BARDAGE DE TERRENOIRE (C.E.T.A.B.A)</t>
  </si>
  <si>
    <t>mot-clé dans le nom/enseigne ; NAF 43.99C BTP cohérent</t>
  </si>
  <si>
    <t>894400332</t>
  </si>
  <si>
    <t>COUVERTURE METALLERIE BARDAGE (COUVERTURE METALLERIE BARDAGE)</t>
  </si>
  <si>
    <t>ROANNE</t>
  </si>
  <si>
    <t>42300</t>
  </si>
  <si>
    <t>mot-clé dans le nom/enseigne ; NAF 43.29A BTP cohérent</t>
  </si>
  <si>
    <t>909138596</t>
  </si>
  <si>
    <t>RSR ETANCHEITE BARDAGE</t>
  </si>
  <si>
    <t>353997968</t>
  </si>
  <si>
    <t>CHARPENTE COUVERT BARDAGE ISOLATION (CCBI)</t>
  </si>
  <si>
    <t>JANS</t>
  </si>
  <si>
    <t>44170</t>
  </si>
  <si>
    <t>mot-clé dans le nom/enseigne ; NAF 43.32B BTP cohérent</t>
  </si>
  <si>
    <t>820568723</t>
  </si>
  <si>
    <t>EC FACADE (EC FACADE)</t>
  </si>
  <si>
    <t>sources = annuaires uniquement</t>
  </si>
  <si>
    <t>https://www.societe.com/societe/ec-facade-820568723.html</t>
  </si>
  <si>
    <t>893930438</t>
  </si>
  <si>
    <t>GAVALAND BARDAGE</t>
  </si>
  <si>
    <t>LE PALLET</t>
  </si>
  <si>
    <t>830139259</t>
  </si>
  <si>
    <t>BARDAGE DU GATINAIS</t>
  </si>
  <si>
    <t>VILLEMANDEUR</t>
  </si>
  <si>
    <t>418734141</t>
  </si>
  <si>
    <t>CLERY-SAINT-ANDRE</t>
  </si>
  <si>
    <t>45370</t>
  </si>
  <si>
    <t>918168634</t>
  </si>
  <si>
    <t>MF BARDAGE</t>
  </si>
  <si>
    <t>LA CHAPELLE-SAINT-MESMIN</t>
  </si>
  <si>
    <t>45380</t>
  </si>
  <si>
    <t>393677323</t>
  </si>
  <si>
    <t>RAVALEMENT ORLEANAIS SARL</t>
  </si>
  <si>
    <t>DARVOY</t>
  </si>
  <si>
    <t>45150</t>
  </si>
  <si>
    <t>481125078</t>
  </si>
  <si>
    <t>T.F RAVALEMENT SARL</t>
  </si>
  <si>
    <t>ORLEANS</t>
  </si>
  <si>
    <t>45100</t>
  </si>
  <si>
    <t>328845946</t>
  </si>
  <si>
    <t>ANGEVINE DE RAVALEMENT ET DE TRAVAUX (ART)</t>
  </si>
  <si>
    <t>ECOUFLANT</t>
  </si>
  <si>
    <t>49000</t>
  </si>
  <si>
    <t>411495096</t>
  </si>
  <si>
    <t>B.M.T.I. BARDAGES METALLIQUES TOITURES INDUSTRIELLES (BMTI)</t>
  </si>
  <si>
    <t>337822985</t>
  </si>
  <si>
    <t>LOIRE TOITURE BARDAGE - L.T.B</t>
  </si>
  <si>
    <t>MONTREVAULT-SUR-EVRE</t>
  </si>
  <si>
    <t>912219292</t>
  </si>
  <si>
    <t>BARDAGE ET CO</t>
  </si>
  <si>
    <t>LILLE</t>
  </si>
  <si>
    <t>59800</t>
  </si>
  <si>
    <t>843355371</t>
  </si>
  <si>
    <t>H.D.F. ENDUITS FACADES</t>
  </si>
  <si>
    <t>59160</t>
  </si>
  <si>
    <t>sources = annuaires uniquement ; NAF maisons individuelles</t>
  </si>
  <si>
    <t>https://www.pappers.fr/entreprise/hdf-enduits-facades-843355371</t>
  </si>
  <si>
    <t>315334573</t>
  </si>
  <si>
    <t>SOCIETE DE RAVALEMENT DU CAMBRESIS (SRC)</t>
  </si>
  <si>
    <t>SAINT-HILAIRE-LEZ-CAMBRAI</t>
  </si>
  <si>
    <t>59292</t>
  </si>
  <si>
    <t>344938337</t>
  </si>
  <si>
    <t>SOCIETES DE MONTAGES INDUSTRIELS - COUVERTURES ET BARDAGES - (SDMI CB)</t>
  </si>
  <si>
    <t>DUNKERQUE</t>
  </si>
  <si>
    <t>59140</t>
  </si>
  <si>
    <t>812463792</t>
  </si>
  <si>
    <t>BARDAGE ET COMPAGNIE</t>
  </si>
  <si>
    <t>NOYON</t>
  </si>
  <si>
    <t>60400</t>
  </si>
  <si>
    <t>413180209</t>
  </si>
  <si>
    <t>COUVERTURE BARDAGE RANSART - CBR (CBR)</t>
  </si>
  <si>
    <t>RANSART</t>
  </si>
  <si>
    <t>62173</t>
  </si>
  <si>
    <t>890383052</t>
  </si>
  <si>
    <t>LOOK FACADE</t>
  </si>
  <si>
    <t>NŒUX-LES-MINES</t>
  </si>
  <si>
    <t>62290</t>
  </si>
  <si>
    <t>isolation (murs, combles, sols), RGE ; façade non explicite</t>
  </si>
  <si>
    <t>https://annuaire-entreprises.data.gouv.fr/entreprise/890383052 (source d'origine hors ligne au 26/09/2026 : https://artisanmalin.com/entreprises-disolation/noeux-les-mines/look-facade/)</t>
  </si>
  <si>
    <t>402693055</t>
  </si>
  <si>
    <t>AUVERGNE BARDAGE COUVERTURE ETANCHEITE (ABCEO)</t>
  </si>
  <si>
    <t>898226519</t>
  </si>
  <si>
    <t>PEINTURE ECKERT ECHAFAUDAGE ET RAVALEMENT (PEINTURE ECKERT ECHAFAUDAGE ET RAVALEMENT)</t>
  </si>
  <si>
    <t>BENNWIHR</t>
  </si>
  <si>
    <t>68126</t>
  </si>
  <si>
    <t>922615364</t>
  </si>
  <si>
    <t>AGBE ETANCHEITE-BARDAGE (AGBE ETANCHEITE-BARDAGE)</t>
  </si>
  <si>
    <t>LYON</t>
  </si>
  <si>
    <t>69003</t>
  </si>
  <si>
    <t>914388350</t>
  </si>
  <si>
    <t>HM COUVERTURE BARDAGE</t>
  </si>
  <si>
    <t>483878716</t>
  </si>
  <si>
    <t>M J P BARDAGE (D PLIAGE)</t>
  </si>
  <si>
    <t>CORBAS</t>
  </si>
  <si>
    <t>69960</t>
  </si>
  <si>
    <t>522297746</t>
  </si>
  <si>
    <t>M.M BARDAGES</t>
  </si>
  <si>
    <t>SAINT-LAURENT-D'AGNY</t>
  </si>
  <si>
    <t>69440</t>
  </si>
  <si>
    <t>824790992</t>
  </si>
  <si>
    <t>ROCHA BARDAGE</t>
  </si>
  <si>
    <t>GENAY</t>
  </si>
  <si>
    <t>69730</t>
  </si>
  <si>
    <t>400908273</t>
  </si>
  <si>
    <t>LOUIS COUVERTURE ET BARDAGE</t>
  </si>
  <si>
    <t>PARIGNE-L'EVEQUE</t>
  </si>
  <si>
    <t>72250</t>
  </si>
  <si>
    <t>811120864</t>
  </si>
  <si>
    <t>ALPES BARDAGE COUVERTURE</t>
  </si>
  <si>
    <t>VIMINES</t>
  </si>
  <si>
    <t>73160</t>
  </si>
  <si>
    <t>750667123</t>
  </si>
  <si>
    <t>CHALLES-LES-EAUX</t>
  </si>
  <si>
    <t>73190</t>
  </si>
  <si>
    <t>819382144</t>
  </si>
  <si>
    <t>KLM (KLM ISOLATION FACADE)</t>
  </si>
  <si>
    <t>ENTRELACS</t>
  </si>
  <si>
    <t>73410</t>
  </si>
  <si>
    <t>393671847</t>
  </si>
  <si>
    <t>ABC EDOUARD PEINTURE (BNC EDOUARD - DEVIS DEGATS DES EAUX - AARON RAVALEMENT)</t>
  </si>
  <si>
    <t>75010</t>
  </si>
  <si>
    <t>823270988</t>
  </si>
  <si>
    <t>P.M.R. (PEINTURE MACONNERIE RAVALEMENT)</t>
  </si>
  <si>
    <t>mot-clé dans le nom/enseigne ; NAF 41.20A BTP cohérent</t>
  </si>
  <si>
    <t>672018918</t>
  </si>
  <si>
    <t>SOC ROUFFET RAVALEMENT</t>
  </si>
  <si>
    <t>812765360</t>
  </si>
  <si>
    <t>C.H. FACADES (C.H FACADES)</t>
  </si>
  <si>
    <t>sources = annuaires uniquement ; NAF construction d'autres bâtiments</t>
  </si>
  <si>
    <t>https://www.societe.com/societe/c-h-facades-812765360.html</t>
  </si>
  <si>
    <t>435021266</t>
  </si>
  <si>
    <t>S.M.P.R. SOCIETE MELUNAISE DE PEINTURE ET RAVALEMENT (S.M.P.R.) (SMPR)</t>
  </si>
  <si>
    <t>CESSON</t>
  </si>
  <si>
    <t>77240</t>
  </si>
  <si>
    <t>949026520</t>
  </si>
  <si>
    <t>RIF-ALU-BARDAGE</t>
  </si>
  <si>
    <t>353176571</t>
  </si>
  <si>
    <t>TRADITION RAVALEMENT RENOVATION (TRR)</t>
  </si>
  <si>
    <t>452220866</t>
  </si>
  <si>
    <t>NOUV ENTR DE PEINTURE ET RAVALEMENT (NEPR)</t>
  </si>
  <si>
    <t>FREJUS</t>
  </si>
  <si>
    <t>83600</t>
  </si>
  <si>
    <t>484560966</t>
  </si>
  <si>
    <t>ENTR VENDEENNE PEINTURE RAVALEMENT (E V P R)</t>
  </si>
  <si>
    <t>DOMPIERRE-SUR-YON</t>
  </si>
  <si>
    <t>508312030</t>
  </si>
  <si>
    <t>RAVALEMENT DE FRANCE 85 (R.D.F.85)</t>
  </si>
  <si>
    <t>LES SABLES D'OLONNE</t>
  </si>
  <si>
    <t>85100</t>
  </si>
  <si>
    <t>mot-clé dans le nom/enseigne ; NAF 43.99D BTP cohérent</t>
  </si>
  <si>
    <t>911572824</t>
  </si>
  <si>
    <t>AS BARDAGE CONSTRUCTION</t>
  </si>
  <si>
    <t>808586978</t>
  </si>
  <si>
    <t>J D M RAVALEMENT</t>
  </si>
  <si>
    <t>NAF maisons individuelles ; seul indice façade = profil LinkedIn</t>
  </si>
  <si>
    <t>https://fr.linkedin.com/in/jdm-ravalement-42374926a</t>
  </si>
  <si>
    <t>897504338</t>
  </si>
  <si>
    <t>JOOBEUR RAVALEMENT (JOOBEUR RAVALEMENT)</t>
  </si>
  <si>
    <t>VIRY-CHATILLON</t>
  </si>
  <si>
    <t>91170</t>
  </si>
  <si>
    <t>https://rdvartisans.fr/rdv/facadier-ravaleur-enduiseur/91-essonne/viry-chatillon-91170/</t>
  </si>
  <si>
    <t>824963086</t>
  </si>
  <si>
    <t>S T R (SERVICES TRAVAUX RAVALEMENT)</t>
  </si>
  <si>
    <t>CORBEIL-ESSONNES</t>
  </si>
  <si>
    <t>91100</t>
  </si>
  <si>
    <t>903800746</t>
  </si>
  <si>
    <t>SOLEIL RAVALEMENT</t>
  </si>
  <si>
    <t>aucune source métier trouvée</t>
  </si>
  <si>
    <t>https://annuaire-entreprises.data.gouv.fr/entreprise/903800746</t>
  </si>
  <si>
    <t>823561063</t>
  </si>
  <si>
    <t>FACADE OUEST</t>
  </si>
  <si>
    <t>BOULOGNE-BILLANCOURT</t>
  </si>
  <si>
    <t>92100</t>
  </si>
  <si>
    <t>sources = annuaires uniquement ; activité déclarée construction de maisons</t>
  </si>
  <si>
    <t>https://www.verif.com/societe/FACADE-OUEST-823561063/</t>
  </si>
  <si>
    <t>829195775</t>
  </si>
  <si>
    <t>TM RAVALEMENT</t>
  </si>
  <si>
    <t>aucune source pour ce SIREN (seul un homonyme dissous, 892277682, apparaît)</t>
  </si>
  <si>
    <t>https://annuaire-entreprises.data.gouv.fr/entreprise/829195775</t>
  </si>
  <si>
    <t>432399426</t>
  </si>
  <si>
    <t>PEINTURE RAVALEMENT DECORATION (PRD)</t>
  </si>
  <si>
    <t>SAINT-OUEN-SUR-SEINE</t>
  </si>
  <si>
    <t>93400</t>
  </si>
  <si>
    <t>333513760</t>
  </si>
  <si>
    <t>338069313</t>
  </si>
  <si>
    <t>SOC ETANCHEITE TERRASSE RAVALEMENT (SETRIM)</t>
  </si>
  <si>
    <t>AUBERVILLIERS</t>
  </si>
  <si>
    <t>93300</t>
  </si>
  <si>
    <t>953468261</t>
  </si>
  <si>
    <t>YANI RAVALEMENT (YANI RAVALEMENT)</t>
  </si>
  <si>
    <t>sources = annuaires uniquement ; NAF peinture</t>
  </si>
  <si>
    <t>https://www.pappers.fr/entreprise/yani-ravalement-953468261</t>
  </si>
  <si>
    <t>408604841</t>
  </si>
  <si>
    <t>AGENCEMENT PEINTURE RAVALEMENT REVETEMEN (AP2R) (AP2R)</t>
  </si>
  <si>
    <t>CRETEIL</t>
  </si>
  <si>
    <t>94000</t>
  </si>
  <si>
    <t>799429253</t>
  </si>
  <si>
    <t>ART FACADE</t>
  </si>
  <si>
    <t>SUCY-EN-BRIE</t>
  </si>
  <si>
    <t>94370</t>
  </si>
  <si>
    <t>NAF montage de structures métalliques ; site artfacade.fr ; type de façade non précisé (façade légère ?)</t>
  </si>
  <si>
    <t>https://www.societe.com/societe/art-facade-799429253.html</t>
  </si>
  <si>
    <t>828159137</t>
  </si>
  <si>
    <t>IBP (ISOLATION BARDAGE PEINTURE)</t>
  </si>
  <si>
    <t>BOISSY-SAINT-LEGER</t>
  </si>
  <si>
    <t>94470</t>
  </si>
  <si>
    <t>842196479</t>
  </si>
  <si>
    <t>ID-V FACADES (ID-V FACADES)</t>
  </si>
  <si>
    <t>SAINT-MAURICE</t>
  </si>
  <si>
    <t>94410</t>
  </si>
  <si>
    <t>activité décrite = maçonnerie + étanchéité ; façade non explicite</t>
  </si>
  <si>
    <t>https://www.pappers.fr/entreprise/id-v-facades-842196479</t>
  </si>
  <si>
    <t>821737194</t>
  </si>
  <si>
    <t>SOUID DECORATION RAVALEMENT</t>
  </si>
  <si>
    <t>mot-clé dans le nom/enseigne ; NAF 41.20B BTP cohérent</t>
  </si>
  <si>
    <t>423729052</t>
  </si>
  <si>
    <t>TRAVAUX PEINTURE RAVALEMENT (TPR)</t>
  </si>
  <si>
    <t>LE KREMLIN-BICETRE</t>
  </si>
  <si>
    <t>94270</t>
  </si>
  <si>
    <t>888519402</t>
  </si>
  <si>
    <t>MB BARDAGE</t>
  </si>
  <si>
    <t>822898953</t>
  </si>
  <si>
    <t>SM RAVALEMENT</t>
  </si>
  <si>
    <t>GOUSSAINVILLE</t>
  </si>
  <si>
    <t>95190</t>
  </si>
  <si>
    <t>https://www.pappers.fr/entreprise/sm-ravalement-822898953</t>
  </si>
  <si>
    <t>422038778</t>
  </si>
  <si>
    <t>SOCIETE GUADELOUPEENNE DE RAVALEMENT ET DE REVETEMENT (SG 2R)</t>
  </si>
  <si>
    <t>BAIE-MAHAULT</t>
  </si>
  <si>
    <t>97122</t>
  </si>
  <si>
    <t>971</t>
  </si>
  <si>
    <t>330940172</t>
  </si>
  <si>
    <t>SOC KOUROU BARDAGE (SKB)</t>
  </si>
  <si>
    <t>KOUROU</t>
  </si>
  <si>
    <t>97310</t>
  </si>
  <si>
    <t>973</t>
  </si>
  <si>
    <t>814774246</t>
  </si>
  <si>
    <t>SOLUTIONS POSES FACADES (SPF) (SPF)</t>
  </si>
  <si>
    <t>ETAMPES-SUR-MARNE</t>
  </si>
  <si>
    <t>02400</t>
  </si>
  <si>
    <t>02</t>
  </si>
  <si>
    <t>activité décrite = menuiserie métallique / serrurerie ; façade non attestée</t>
  </si>
  <si>
    <t>https://www.pappers.fr/entreprise/spf-solutions-poses-facades-814774246</t>
  </si>
  <si>
    <t>520980517</t>
  </si>
  <si>
    <t>ATLANTIQUE BARDAGE</t>
  </si>
  <si>
    <t>PERIGNY</t>
  </si>
  <si>
    <t>17180</t>
  </si>
  <si>
    <t>activité déclarée sans mention façade : Travaux d'amélioration thermique, amélioration de l'habitat, négoce de matériaux d'isolation</t>
  </si>
  <si>
    <t>https://www.bodacc.fr/ (SIREN 520980517)</t>
  </si>
  <si>
    <t>534295613</t>
  </si>
  <si>
    <t>JBC FACADES</t>
  </si>
  <si>
    <t>ARS-EN-RE</t>
  </si>
  <si>
    <t>17590</t>
  </si>
  <si>
    <t>activité déclarée plâtrerie ; aucune trace d'activité façade</t>
  </si>
  <si>
    <t>https://www.mon-platrier.fr/entreprise/jbc-facades-534295613/</t>
  </si>
  <si>
    <t>445343718</t>
  </si>
  <si>
    <t>RAVALEMENT DE FRANCE 17 (R.D.F. 17)</t>
  </si>
  <si>
    <t>activité déclarée sans mention façade : activité de zinguerie, gouttière aluminium, couverture de bâtiments, pose de cloisons sèches, tous travaux de fabrication, pose et réparation dans lesdits domaines.</t>
  </si>
  <si>
    <t>https://www.bodacc.fr/ (SIREN 445343718)</t>
  </si>
  <si>
    <t>492849252</t>
  </si>
  <si>
    <t>M.G.P. CONSTRUCTION - RENOVATION - FACADES</t>
  </si>
  <si>
    <t>SAINT-COME-ET-MARUEJOLS</t>
  </si>
  <si>
    <t>30870</t>
  </si>
  <si>
    <t>activité décrite = isolation intérieure + couverture/charpente</t>
  </si>
  <si>
    <t>https://www.pappers.fr/entreprise/mgp-construction-renovation-facades-492849252</t>
  </si>
  <si>
    <t>810036244</t>
  </si>
  <si>
    <t>SARL SPR (SOL PEINTURE RAVALEMENT)</t>
  </si>
  <si>
    <t>31200</t>
  </si>
  <si>
    <t>activité déclarée sans mention façade : pose de plaques de plâtre, peinture, carrelage, revêtement de sol, maçonnerie générale de second oeuvre / Maçonnerie générale.</t>
  </si>
  <si>
    <t>https://www.bodacc.fr/ (SIREN 810036244)</t>
  </si>
  <si>
    <t>502360167</t>
  </si>
  <si>
    <t>LATIF ATAS (VIZION FACADE)</t>
  </si>
  <si>
    <t>entrepreneur individuel, revêtements sols/murs ; enseigne VIZION FACADE fermée en 2009</t>
  </si>
  <si>
    <t>https://www.pappers.fr/entreprise/atas-latif-502360167</t>
  </si>
  <si>
    <t>905203204</t>
  </si>
  <si>
    <t>GOLD RAVALEMENT</t>
  </si>
  <si>
    <t>ROMORANTIN-LANTHENAY</t>
  </si>
  <si>
    <t>41200</t>
  </si>
  <si>
    <t>activité décrite = gros œuvre béton (1-2 salariés selon annuaire) ; façade non attestée</t>
  </si>
  <si>
    <t>https://omizi.com/professionnels/macons/loir-et-cher/romorantin-lanthenay</t>
  </si>
  <si>
    <t>325527224</t>
  </si>
  <si>
    <t>SOMBAT LES FACADES DE L'ANJOU (SOMBAT)</t>
  </si>
  <si>
    <t>SAINT-BARTHELEMY-D'ANJOU</t>
  </si>
  <si>
    <t>49124</t>
  </si>
  <si>
    <t>851293969</t>
  </si>
  <si>
    <t>SOCIETE DE RAVALEMENT ET PEINTURE SRP</t>
  </si>
  <si>
    <t>MULHOUSE</t>
  </si>
  <si>
    <t>68100</t>
  </si>
  <si>
    <t>activité déclarée sans mention façade : Travaux de peinture en bâtiment.</t>
  </si>
  <si>
    <t>https://www.bodacc.fr/ (SIREN 851293969)</t>
  </si>
  <si>
    <t>877955237</t>
  </si>
  <si>
    <t>ALTITUDE FACADES ET BARDAGES (ALTITUDE FACADES ET BARDAGES)</t>
  </si>
  <si>
    <t>SAINT-GENIS-LAVAL</t>
  </si>
  <si>
    <t>69230</t>
  </si>
  <si>
    <t>activité décrite = isolation par insufflation (murs creux, combles) ; façade/bardage non attesté</t>
  </si>
  <si>
    <t>https://omizi.com/professionnel/altitude-facades-et-bardages</t>
  </si>
  <si>
    <t>482094455</t>
  </si>
  <si>
    <t>FACADES ALTITUDE (FACADES ALTITUDE)</t>
  </si>
  <si>
    <t>SATHONAY-CAMP</t>
  </si>
  <si>
    <t>69580</t>
  </si>
  <si>
    <t>PagesJaunes le classe couvreur ; aucune trace d'activité façade</t>
  </si>
  <si>
    <t>https://www.pagesjaunes.fr/pros/09341370</t>
  </si>
  <si>
    <t>841938962</t>
  </si>
  <si>
    <t>HB FACADE</t>
  </si>
  <si>
    <t>LES ESSARTS-LE-ROI</t>
  </si>
  <si>
    <t>78690</t>
  </si>
  <si>
    <t>activité déclarée menuiserie bois/PVC ; aucune trace d'activité façade</t>
  </si>
  <si>
    <t>https://www.pappers.fr/entreprise/hb-facade-841938962</t>
  </si>
  <si>
    <t>852923762</t>
  </si>
  <si>
    <t>TECHNI FACADE 78</t>
  </si>
  <si>
    <t>CARRIERES-SUR-SEINE</t>
  </si>
  <si>
    <t>78420</t>
  </si>
  <si>
    <t>objet social « bâtiment tous corps d'état » ; façade non attestée</t>
  </si>
  <si>
    <t>https://www.pappers.fr/entreprise/techni-facade-78-852923762</t>
  </si>
  <si>
    <t>819317967</t>
  </si>
  <si>
    <t>M.P FACADE</t>
  </si>
  <si>
    <t>https://www.pappers.fr/entreprise/mp-facade-819317967</t>
  </si>
  <si>
    <t>830447769</t>
  </si>
  <si>
    <t>MJ FACADE 85 (MJF 85)</t>
  </si>
  <si>
    <t>NESMY</t>
  </si>
  <si>
    <t>85310</t>
  </si>
  <si>
    <t>activité décrite = plâtrerie, cloisons, isolation intérieure</t>
  </si>
  <si>
    <t>https://omizi.com/professionnel/mjf-85</t>
  </si>
  <si>
    <t>881034847</t>
  </si>
  <si>
    <t>GIE PLURISOL</t>
  </si>
  <si>
    <t>PALAISEAU</t>
  </si>
  <si>
    <t>91120</t>
  </si>
  <si>
    <t>activité déclarée sans mention façade : gestion financière, commerciale et logistique</t>
  </si>
  <si>
    <t>https://www.bodacc.fr/ (SIREN 881034847)</t>
  </si>
  <si>
    <t>750220725</t>
  </si>
  <si>
    <t>DECORR - FACADES</t>
  </si>
  <si>
    <t>activité déclarée carrelage / revêtements ; un annuaire indique 0 salarié</t>
  </si>
  <si>
    <t>https://www.pagesjaunes.fr/siret/75022072500014</t>
  </si>
  <si>
    <t>891748071</t>
  </si>
  <si>
    <t>ALLIANCE VERRIERE CHARPENTE FACADE (AVCF)</t>
  </si>
  <si>
    <t>activité déclarée menuiserie métallique / serrurerie ; façade non attestée</t>
  </si>
  <si>
    <t>https://www.pappers.fr/entreprise/avcf-alliance-verriere-charpente-facade-891748071</t>
  </si>
  <si>
    <t>843350836</t>
  </si>
  <si>
    <t>BM PRO FACADE</t>
  </si>
  <si>
    <t>LE RAINCY</t>
  </si>
  <si>
    <t>93340</t>
  </si>
  <si>
    <t>activité décrite = menuiserie int./ext. (bois, PVC, alu), 20-49 salariés</t>
  </si>
  <si>
    <t>https://www.pappers.fr/entreprise/bm-pro-facade-843350836</t>
  </si>
  <si>
    <t>417733102</t>
  </si>
  <si>
    <t>E.I.F. ETANCHEITE ISOLATION FACADES (E I F)</t>
  </si>
  <si>
    <t>activité décrite = étanchéité ; façade non attestée</t>
  </si>
  <si>
    <t>https://www.pagesjaunes.fr/pros/61165103</t>
  </si>
  <si>
    <t>790769590</t>
  </si>
  <si>
    <t>FRANCE RAVALEMENT SERVICE (F.R.S)</t>
  </si>
  <si>
    <t>LES LILAS</t>
  </si>
  <si>
    <t>93260</t>
  </si>
  <si>
    <t>activité déclarée sans mention façade : maçonnerie - peinture - plomberie - electricité</t>
  </si>
  <si>
    <t>https://www.bodacc.fr/ (SIREN 790769590)</t>
  </si>
  <si>
    <t>412546897</t>
  </si>
  <si>
    <t>SAREP - SOCIETE D'AMENAGEMENT RAVALEMENT ETANCHEITE PEINTURE</t>
  </si>
  <si>
    <t>activité déclarée sans mention façade : l'activité d'entreprise générale de bâtiment, et tous travaux s'y rapportant directement ou indirectement, toute activité de cloisonnement, menuiserie , isolation, pose de plafonds, la création, l'acquisition, la vente, la prise à bail, la gérance libre, l'installation ou l'exploitation de tous fonds de commerce et toutes opérations annexes ou connexes pouvant se rapporter.</t>
  </si>
  <si>
    <t>https://www.bodacc.fr/ (SIREN 412546897)</t>
  </si>
  <si>
    <t>904833555</t>
  </si>
  <si>
    <t>SOCIETE PEINTURE RAVALEMENT 27 (S.P.R 27) (S.P.R 27)</t>
  </si>
  <si>
    <t>46.73A</t>
  </si>
  <si>
    <t>Commerce de gros (commerce interentreprises) de bois et de matériaux de construction</t>
  </si>
  <si>
    <t>BOBIGNY</t>
  </si>
  <si>
    <t>93000</t>
  </si>
  <si>
    <t>activité déclarée sans mention façade : travaux de peintures et toutes rénovations intérieur-extérieur</t>
  </si>
  <si>
    <t>https://www.bodacc.fr/ (SIREN 904833555)</t>
  </si>
  <si>
    <t>520230616</t>
  </si>
  <si>
    <t>AXB FACADE (AXB FACADE)</t>
  </si>
  <si>
    <t>SANNOIS</t>
  </si>
  <si>
    <t>95110</t>
  </si>
  <si>
    <t>activité réelle : étanchéité / couverture (PagesJaunes)</t>
  </si>
  <si>
    <t>https://www.pagesjaunes.fr/pros/57761444</t>
  </si>
  <si>
    <t>392574109</t>
  </si>
  <si>
    <t>JEAN ANTAYA (FRANCOIS FACADE)</t>
  </si>
  <si>
    <t>SAINT-ANDRE</t>
  </si>
  <si>
    <t>97440</t>
  </si>
  <si>
    <t>974</t>
  </si>
  <si>
    <t>entrepreneur individuel, plâtrerie ; enseigne FRANCOIS FACADE</t>
  </si>
  <si>
    <t>https://www.pappers.fr/entreprise/antaya-jean-392574109</t>
  </si>
  <si>
    <t>786020206</t>
  </si>
  <si>
    <t>ETABLISSEMENTS WARSMANN</t>
  </si>
  <si>
    <t>NOUZONVILLE</t>
  </si>
  <si>
    <t>08700</t>
  </si>
  <si>
    <t>08</t>
  </si>
  <si>
    <t>menuiserie aluminium et serrurerie, structures métalliques ; façade non attestée</t>
  </si>
  <si>
    <t>https://www.warsmann.fr/</t>
  </si>
  <si>
    <t>825010796</t>
  </si>
  <si>
    <t>CHAPES CARRELAGES BRISENO (POSE DE PIERRES ET DE TOUT TYPE DE REVETEMENT DE SOLS MURS ET FACADES)</t>
  </si>
  <si>
    <t>BOULBON</t>
  </si>
  <si>
    <t>13150</t>
  </si>
  <si>
    <t>chapes, carrelage, pose de pierres ; pas façadier</t>
  </si>
  <si>
    <t>https://www.pappers.fr/entreprise/chapes-carrelages-briseno-825010796</t>
  </si>
  <si>
    <t>832085773</t>
  </si>
  <si>
    <t>N'CO (LORENOVE, NCO FACADE)</t>
  </si>
  <si>
    <t>46.13Z</t>
  </si>
  <si>
    <t>Intermédiaires du commerce en bois et matériaux de construction</t>
  </si>
  <si>
    <t>VERNOUILLET</t>
  </si>
  <si>
    <t>28500</t>
  </si>
  <si>
    <t>franchise Lorenove : négoce/pose de menuiseries (fenêtres)</t>
  </si>
  <si>
    <t>https://www.fenetres-lorenove.fr/actualite-offres/nco-lorenove-votre-expert-en-menuiseries-a-dreux</t>
  </si>
  <si>
    <t>814092300</t>
  </si>
  <si>
    <t>IDEAL SYSTEMES (IDEAL SYSTEME)</t>
  </si>
  <si>
    <t>ESTRABLIN</t>
  </si>
  <si>
    <t>38780</t>
  </si>
  <si>
    <t>installateur pompes à chaleur / VMC ; pas façadier</t>
  </si>
  <si>
    <t>https://ideal-systeme.fr/</t>
  </si>
  <si>
    <t>882912470</t>
  </si>
  <si>
    <t>EFS PROJETS</t>
  </si>
  <si>
    <t>BON-ENCONTRE</t>
  </si>
  <si>
    <t>47240</t>
  </si>
  <si>
    <t>métallerie / menuiserie ; façade non attestée</t>
  </si>
  <si>
    <t>https://www.pappers.fr/entreprise/efs-projets-882912470</t>
  </si>
  <si>
    <t>799395207</t>
  </si>
  <si>
    <t>EMAILLERIE ALSACIENNE (EA FACADE)</t>
  </si>
  <si>
    <t>25.11Z</t>
  </si>
  <si>
    <t>Fabrication de structures métalliques et de parties de structures</t>
  </si>
  <si>
    <t>ALTORF</t>
  </si>
  <si>
    <t>67120</t>
  </si>
  <si>
    <t>fabricant de panneaux de façade (émail/verre), pas poseur</t>
  </si>
  <si>
    <t>https://www.ea-facade.com/l-entreprise/</t>
  </si>
  <si>
    <t>800675126</t>
  </si>
  <si>
    <t>5E FACADE</t>
  </si>
  <si>
    <t>étancheur (« 5e façade » = toiture), pas façadier</t>
  </si>
  <si>
    <t>https://www.pagesjaunes.fr/pros/55941510</t>
  </si>
  <si>
    <t>880567367</t>
  </si>
  <si>
    <t>SECURITE FACADES</t>
  </si>
  <si>
    <t>RIOZ</t>
  </si>
  <si>
    <t>70190</t>
  </si>
  <si>
    <t>70</t>
  </si>
  <si>
    <t>échafaudagiste (pose d'échafaudages), pas façadier</t>
  </si>
  <si>
    <t>https://www.pagesjaunes.fr/pros/60927637</t>
  </si>
  <si>
    <t>722000783</t>
  </si>
  <si>
    <t>FACADE SERVICE (SAPROVER)</t>
  </si>
  <si>
    <t>activité réelle : maintenance de menuiseries aluminium extérieures</t>
  </si>
  <si>
    <t>https://www.pagesjaunes.fr/pros/51723317</t>
  </si>
  <si>
    <t>210400453</t>
  </si>
  <si>
    <t>COMMUNE DE CERESTE-EN-LUBERON</t>
  </si>
  <si>
    <t>84.11Z</t>
  </si>
  <si>
    <t>Administration publique générale</t>
  </si>
  <si>
    <t>CERESTE-EN-LUBERON</t>
  </si>
  <si>
    <t>04280</t>
  </si>
  <si>
    <t>collectivité (commune) — enseigne « opération façade »</t>
  </si>
  <si>
    <t>https://annuaire-entreprises.data.gouv.fr/entreprise/210400453</t>
  </si>
  <si>
    <t>887981249</t>
  </si>
  <si>
    <t>SEBAPROMOTION</t>
  </si>
  <si>
    <t>70.22Z</t>
  </si>
  <si>
    <t>Conseil pour les affaires et autres conseils de gestion</t>
  </si>
  <si>
    <t>SEBAZAC-CONCOURES</t>
  </si>
  <si>
    <t>12740</t>
  </si>
  <si>
    <t>automatique (NAF hors BTP) + BODACC</t>
  </si>
  <si>
    <t>NAF 70.22Z hors BTP ; activité déclarée : toutes prestations de services en matière commerciale et de gestion, distribution et commercialisation de produits, objets, marchandises pour le compte de tous tiers</t>
  </si>
  <si>
    <t>https://www.bodacc.fr/ (SIREN 887981249)</t>
  </si>
  <si>
    <t>527988257</t>
  </si>
  <si>
    <t>LAVARENNE</t>
  </si>
  <si>
    <t>10.71C</t>
  </si>
  <si>
    <t>Boulangerie et boulangerie-pâtisserie</t>
  </si>
  <si>
    <t>VENELLES</t>
  </si>
  <si>
    <t>13770</t>
  </si>
  <si>
    <t>automatique (NAF hors BTP)</t>
  </si>
  <si>
    <t>NAF 10.71C hors BTP</t>
  </si>
  <si>
    <t>481411882</t>
  </si>
  <si>
    <t>CITYA COTE DE BEAUTE (CITYA COTE DE BEAUTE)</t>
  </si>
  <si>
    <t>68.32A</t>
  </si>
  <si>
    <t>Administration d'immeubles et autres biens immobiliers</t>
  </si>
  <si>
    <t>NAF 68.32A hors BTP ; activité déclarée : transaction immobilière, gestion immobilière et syndic de copropriété / agence immobilière, transaction sur appartement et maison, gestion et location</t>
  </si>
  <si>
    <t>https://www.bodacc.fr/ (SIREN 481411882)</t>
  </si>
  <si>
    <t>499253219</t>
  </si>
  <si>
    <t>ARCOFA - ARCHITECTURES CONSTRUCTION FACADES</t>
  </si>
  <si>
    <t>64.20Z</t>
  </si>
  <si>
    <t>Activités des sociétés holding</t>
  </si>
  <si>
    <t>OUGES</t>
  </si>
  <si>
    <t>21600</t>
  </si>
  <si>
    <t>holding (NAF 64.20Z) ; pas d'activité opérationnelle propre</t>
  </si>
  <si>
    <t>https://www.pappers.fr/entreprise/arcofa-architectures-construction-facades-499253219</t>
  </si>
  <si>
    <t>309124477</t>
  </si>
  <si>
    <t>POMPES FUNEBRES ET MARBRERIE BERTHELOT (POMPES FUNEBRES ET MARBRERIE BERTHELOT)</t>
  </si>
  <si>
    <t>96.03Z</t>
  </si>
  <si>
    <t>Services funéraires</t>
  </si>
  <si>
    <t>GISORS</t>
  </si>
  <si>
    <t>27140</t>
  </si>
  <si>
    <t>NAF 96.03Z hors BTP ; activité déclarée : Pompes funèbres, marbrerie, vente au détail de fleurs artificielles et naturelles et ornements funéraires. / Pompes funèbres, marbrerie, vente au détail de fleurs Artificilelles et naturelles et ornements funéraires. / pompes funèbres marbrerie vente au détails de fleur artificielles et naturelles et ornement funéraires. / pompes funèbres marbrerie vente au détail de fleur artificielles et naturel</t>
  </si>
  <si>
    <t>https://www.bodacc.fr/ (SIREN 309124477)</t>
  </si>
  <si>
    <t>517550679</t>
  </si>
  <si>
    <t>ICNERGIE (AQUITAINE BARDAGE COUVERTURE&amp;QUOT;)</t>
  </si>
  <si>
    <t>mot-clé dans le nom/enseigne ; NAF 70.22Z hors BTP ; activité déclarée : conseil et distribution de produits d'économie d'énergie.</t>
  </si>
  <si>
    <t>https://www.bodacc.fr/ (SIREN 517550679)</t>
  </si>
  <si>
    <t>841061104</t>
  </si>
  <si>
    <t>NEWBAKERY DEVELOPPEMENT</t>
  </si>
  <si>
    <t>56.10C</t>
  </si>
  <si>
    <t>Restauration de type rapide</t>
  </si>
  <si>
    <t>CHATEAUGIRON</t>
  </si>
  <si>
    <t>35410</t>
  </si>
  <si>
    <t>NAF 56.10C hors BTP ; activité déclarée : Fonds de commerce de fabrication et vente de produits de boulangerie, de pâtisserie, de viennoiserie, de traiteur sucré salé, de petite restauration sur place et ou à emporter de confiserie, de boissons chaudes et froides / salon de restauration rapide, snacking, salon de thé, l'achat et la vente de produits alimentaires, d'épicerie fine et de boissons. / Boulangerie-pâtisserie / salon de restaura</t>
  </si>
  <si>
    <t>https://www.bodacc.fr/ (SIREN 841061104)</t>
  </si>
  <si>
    <t>243600293</t>
  </si>
  <si>
    <t>CC LEVROUX BOISCHAUT CHAMPAGNE</t>
  </si>
  <si>
    <t>LEVROUX</t>
  </si>
  <si>
    <t>36110</t>
  </si>
  <si>
    <t>36</t>
  </si>
  <si>
    <t>collectivité (communauté de communes) — enseigne « opération façades »</t>
  </si>
  <si>
    <t>https://annuaire-entreprises.data.gouv.fr/entreprise/243600293</t>
  </si>
  <si>
    <t>383929056</t>
  </si>
  <si>
    <t>AUTO CONSULTANT</t>
  </si>
  <si>
    <t>NAF 70.22Z hors BTP</t>
  </si>
  <si>
    <t>524671260</t>
  </si>
  <si>
    <t>DERNIER CRI</t>
  </si>
  <si>
    <t>62.01Z</t>
  </si>
  <si>
    <t>Programmation informatique</t>
  </si>
  <si>
    <t>NAF 62.01Z hors BTP</t>
  </si>
  <si>
    <t>478997216</t>
  </si>
  <si>
    <t>DETOWIN</t>
  </si>
  <si>
    <t>47.42Z</t>
  </si>
  <si>
    <t>Commerce de détail de matériels de télécommunication en magasin spécialisé</t>
  </si>
  <si>
    <t>NAF 47.42Z hors BTP ; activité déclarée : Vente au dÃ©tail de matÃ©riel de tÃ©lÃ©communication et d'accessoires / Commerce d'achat et vente d'appareils de téléphonie filaires et mobiles et activités liées / Vente de téléphonie mobile.</t>
  </si>
  <si>
    <t>https://www.bodacc.fr/ (SIREN 478997216)</t>
  </si>
  <si>
    <t>437547888</t>
  </si>
  <si>
    <t>LA PREVOYANCE</t>
  </si>
  <si>
    <t>87.30A</t>
  </si>
  <si>
    <t>Hébergement social pour personnes âgées</t>
  </si>
  <si>
    <t>NAF 87.30A hors BTP</t>
  </si>
  <si>
    <t>840181259</t>
  </si>
  <si>
    <t>LE BUS MAGIQUE</t>
  </si>
  <si>
    <t>56.10A</t>
  </si>
  <si>
    <t>Restauration traditionnelle</t>
  </si>
  <si>
    <t>59000</t>
  </si>
  <si>
    <t>NAF 56.10A hors BTP</t>
  </si>
  <si>
    <t>751177353</t>
  </si>
  <si>
    <t>RYU WOK (CLUBTROTTEUR)</t>
  </si>
  <si>
    <t>NAF 56.10A hors BTP ; activité déclarée : Restauration rapide</t>
  </si>
  <si>
    <t>https://www.bodacc.fr/ (SIREN 751177353)</t>
  </si>
  <si>
    <t>484442652</t>
  </si>
  <si>
    <t>SARL DES MINIMES (L ARRIERE PAYS)</t>
  </si>
  <si>
    <t>NAF 68.20B hors BTP</t>
  </si>
  <si>
    <t>878826395</t>
  </si>
  <si>
    <t>OPTICOD</t>
  </si>
  <si>
    <t>62.02A</t>
  </si>
  <si>
    <t>Conseil en systèmes et logiciels informatiques</t>
  </si>
  <si>
    <t>VENDENHEIM</t>
  </si>
  <si>
    <t>67550</t>
  </si>
  <si>
    <t>NAF 62.02A hors BTP</t>
  </si>
  <si>
    <t>335119558</t>
  </si>
  <si>
    <t>LE PETIT NEMO</t>
  </si>
  <si>
    <t>88.91A</t>
  </si>
  <si>
    <t>Accueil de jeunes enfants</t>
  </si>
  <si>
    <t>NAF 88.91A hors BTP</t>
  </si>
  <si>
    <t>383324449</t>
  </si>
  <si>
    <t>RETAIL GLOBAL SOLUTIONS</t>
  </si>
  <si>
    <t>BRON</t>
  </si>
  <si>
    <t>69500</t>
  </si>
  <si>
    <t>NAF 70.22Z hors BTP ; activité déclarée : Station service vente de tous produits pétroliers et assimilés vente de tous articles de bazar vente d'articles alimentaires à emporter restauration rapide sur place ou à emporter tabac / Station service, vente de tous produits pétroliers et assimilés, vente d'articles alimentaires à emporter, vente de tous articles concernant l'automobile, lavage, vente de cartes de lavage, gaz en bouteilles / St</t>
  </si>
  <si>
    <t>https://www.bodacc.fr/ (SIREN 383324449)</t>
  </si>
  <si>
    <t>528723539</t>
  </si>
  <si>
    <t>HEURGON JOAILLIER</t>
  </si>
  <si>
    <t>47.77Z</t>
  </si>
  <si>
    <t>Commerce de détail d'articles d'horlogerie et de bijouterie en magasin spécialisé</t>
  </si>
  <si>
    <t>NAF 47.77Z hors BTP ; activité déclarée : En France et dans tous pays étrangers, le commerce de toutes marchandises, produits d'entretien, parfumerie, articles cadeaux, horlogerie, maroquinerie, articles de luxe, d'habillement, articles textiles de toutes sortes, ainsi que toutes activités de loisirs, tourisme, de gestion de patrimoine, mobilier et immobilier</t>
  </si>
  <si>
    <t>https://www.bodacc.fr/ (SIREN 528723539)</t>
  </si>
  <si>
    <t>420766404</t>
  </si>
  <si>
    <t>ROBERTO DURVILLE</t>
  </si>
  <si>
    <t>46.42Z</t>
  </si>
  <si>
    <t>Commerce de gros (commerce interentreprises) d'habillement et de chaussures</t>
  </si>
  <si>
    <t>75003</t>
  </si>
  <si>
    <t>NAF 46.42Z hors BTP</t>
  </si>
  <si>
    <t>347716276</t>
  </si>
  <si>
    <t>SOC LUC DESCHAMPS (DESCHAMPS PARIS)</t>
  </si>
  <si>
    <t>47.76Z</t>
  </si>
  <si>
    <t>Commerce de détail de fleurs, plantes, graines, engrais, animaux de compagnie et aliments pour ces animaux en magasin spécialisé</t>
  </si>
  <si>
    <t>NAF 47.76Z hors BTP ; activité déclarée : achat, vente, négoce de toutes fleurs, graines, plantes, bacs, pots, vases et récipients de toutes sortes, aménagement de parc floral achat vente négoce import export de meubles et objets de brocante la conception et réalisation de décors extérieurs et intérieurs composes aussi bien de plantes que de meubles et plus généralement toute activité se rapportant a l'activité directement ou indirectemen</t>
  </si>
  <si>
    <t>https://www.bodacc.fr/ (SIREN 347716276)</t>
  </si>
  <si>
    <t>500592092</t>
  </si>
  <si>
    <t>MG+ARCHITECTES</t>
  </si>
  <si>
    <t>71.11Z</t>
  </si>
  <si>
    <t>Activités d'architecture</t>
  </si>
  <si>
    <t>SAINTES</t>
  </si>
  <si>
    <t>17100</t>
  </si>
  <si>
    <t>409695566</t>
  </si>
  <si>
    <t>ARTISANS REUNIS BOIS ATLANTIQUE (ARBA)</t>
  </si>
  <si>
    <t>390035400</t>
  </si>
  <si>
    <t>AGENCE BRADFORD</t>
  </si>
  <si>
    <t>74.10Z</t>
  </si>
  <si>
    <t>Activités spécialisées de design</t>
  </si>
  <si>
    <t>801618364</t>
  </si>
  <si>
    <t>C3 - BUREAU D'ETUDES FACADES (C3)</t>
  </si>
  <si>
    <t>BAYONNE</t>
  </si>
  <si>
    <t>64100</t>
  </si>
  <si>
    <t>818381733</t>
  </si>
  <si>
    <t>ATELIER MASSE</t>
  </si>
  <si>
    <t>75002</t>
  </si>
  <si>
    <t>334089752</t>
  </si>
  <si>
    <t>CAREA FACADE</t>
  </si>
  <si>
    <t>22.23Z</t>
  </si>
  <si>
    <t>Fabrication d'éléments en matières plastiques pour la construction</t>
  </si>
  <si>
    <t>BIEVRES</t>
  </si>
  <si>
    <t>91570</t>
  </si>
  <si>
    <t>409139946</t>
  </si>
  <si>
    <t>SOCIETE EUROPEENNE COUVERTURE ET BARDAGE (SECB)</t>
  </si>
  <si>
    <t>43.22A</t>
  </si>
  <si>
    <t>Travaux d'installation d'eau et de gaz en tous locaux</t>
  </si>
  <si>
    <t>Tranche effectif (code INSEE)</t>
  </si>
  <si>
    <t>Procédure collective (BODACC)</t>
  </si>
  <si>
    <t>Date procédure</t>
  </si>
  <si>
    <t>Qualifications RGE valides</t>
  </si>
  <si>
    <t>Activité déclarée au greffe (BODACC)</t>
  </si>
  <si>
    <t>Date de création</t>
  </si>
  <si>
    <t>Isolation des murs par l'extérieur</t>
  </si>
  <si>
    <t>ravalement de façades, isolation et peintures extérieures / ravalement de façades et isolation par l'extérieur</t>
  </si>
  <si>
    <t>2019-06-07</t>
  </si>
  <si>
    <t>1998-08-01</t>
  </si>
  <si>
    <t>Travaux de couverture et de bardage.</t>
  </si>
  <si>
    <t>2011-11-15</t>
  </si>
  <si>
    <t>couverture et bardage</t>
  </si>
  <si>
    <t>2022-07-15</t>
  </si>
  <si>
    <t>Ravalement de façades, isolation extérieure, projection d'enduit à la chaux, peinture, petite maçonnerie.</t>
  </si>
  <si>
    <t>2017-03-08</t>
  </si>
  <si>
    <t>2023-08-01</t>
  </si>
  <si>
    <t>Ravalement façades peinture isolation extérieure.</t>
  </si>
  <si>
    <t>2015-09-11</t>
  </si>
  <si>
    <t>2018-12-17</t>
  </si>
  <si>
    <t>Enduit de façade carrelage maçonnerie chape fluide</t>
  </si>
  <si>
    <t>2018-02-01</t>
  </si>
  <si>
    <t>Isolation des murs par l'extérieur | Isolation des planchers bas</t>
  </si>
  <si>
    <t>Façades, isolations par l'extérieur, locations de matériels, pose de tous types de revêtements pour murs extérieurs</t>
  </si>
  <si>
    <t>2016-04-15</t>
  </si>
  <si>
    <t>2000-10-01</t>
  </si>
  <si>
    <t>Isolation des murs par l'extérieur | Isolation des planchers bas | Isolation par l'intérieur des murs ou rampants de toitures  ou plafonds</t>
  </si>
  <si>
    <t>Maçonnerie générale, travaux de façade</t>
  </si>
  <si>
    <t>2013-09-01</t>
  </si>
  <si>
    <t>Isolation des murs par l'extérieur | Isolation des toitures terrasses ou des toitures par l'extérieur</t>
  </si>
  <si>
    <t>2000-08-07</t>
  </si>
  <si>
    <t>Rénovation de façades construction et entretien d'immeubles maçonnerie plâtrerie pose de couverture,charpente,revêtements de sols et murs tous travaux</t>
  </si>
  <si>
    <t>2009-04-06</t>
  </si>
  <si>
    <t>Isolation extérieure et intérieure, façade, peinture, petite maçonnerie, installation cloisons mobiles placoplâtre, pose de tâpisserie, vente menuiserie alu, bois et pvc</t>
  </si>
  <si>
    <t>2021-05-28</t>
  </si>
  <si>
    <t>Ravalement, enduit de façade, travaux de maçonnerie</t>
  </si>
  <si>
    <t>2012-11-02</t>
  </si>
  <si>
    <t>1992-11-18</t>
  </si>
  <si>
    <t>1980-07-01</t>
  </si>
  <si>
    <t>2019-10-21</t>
  </si>
  <si>
    <t>2002-10-01</t>
  </si>
  <si>
    <t>2002-02-28</t>
  </si>
  <si>
    <t>1977-01-01</t>
  </si>
  <si>
    <t>Ravalement de façades</t>
  </si>
  <si>
    <t>2013-01-01</t>
  </si>
  <si>
    <t>2020-11-25</t>
  </si>
  <si>
    <t>ravalement de façades, imperméabilisation, isolation, rénovation, peinture et travaux de finition, crépis</t>
  </si>
  <si>
    <t>2009-09-21</t>
  </si>
  <si>
    <t>Redressement judiciaire</t>
  </si>
  <si>
    <t>Isolation des combles perdus | Isolation des murs par l'extérieur</t>
  </si>
  <si>
    <t>Vente et pose de systèmes de protection et d'isolation de façades et de systèmes d'isolation thermique pour le bâtiment</t>
  </si>
  <si>
    <t>2007-11-01</t>
  </si>
  <si>
    <t>2009-10-01</t>
  </si>
  <si>
    <t>ravalement de façades maçonnerie générale peinture rénovation étanchéité de terrasses.</t>
  </si>
  <si>
    <t>2018-05-19</t>
  </si>
  <si>
    <t>2016-10-14</t>
  </si>
  <si>
    <t>2010-01-01</t>
  </si>
  <si>
    <t>2020-06-18</t>
  </si>
  <si>
    <t>tous travaux dans le bâtiment et rénovation de façades / tous travaux dans le bâtiment et rénovation de façades.</t>
  </si>
  <si>
    <t>2019-07-25</t>
  </si>
  <si>
    <t>2007-01-05</t>
  </si>
  <si>
    <t>Chauffe-Eau Thermodynamique | Isolation des murs par l'extérieur | Pompe à chaleur : chauffage</t>
  </si>
  <si>
    <t>1998-11-01</t>
  </si>
  <si>
    <t>2000-05-01</t>
  </si>
  <si>
    <t>Isolation des murs par l'extérieur | Isolation par l'intérieur des murs ou rampants de toitures  ou plafonds</t>
  </si>
  <si>
    <t>travaux de maçonnerie générale peinture ravalement revêtement sol et mur.</t>
  </si>
  <si>
    <t>2019-04-09</t>
  </si>
  <si>
    <t>désamiantage, décontamination, encapsulage de l'amiante et de commercialisation de services d'enlèvement.</t>
  </si>
  <si>
    <t>1984-05-01</t>
  </si>
  <si>
    <t>Fenêtres, volets, portes donnant sur l'extérieur | Isolation des murs par l'extérieur</t>
  </si>
  <si>
    <t>Pose, isolation, ravalement,peinture et tous travaux se rapportant au bâtiment (achat d'un fonds artisanal)</t>
  </si>
  <si>
    <t>1996-10-03</t>
  </si>
  <si>
    <t>projection de mousse polyuréthane</t>
  </si>
  <si>
    <t>1987-10-01</t>
  </si>
  <si>
    <t>1998-04-07</t>
  </si>
  <si>
    <t>1998-04-01</t>
  </si>
  <si>
    <t>Fenêtres, volets, portes donnant sur l'extérieur | Isolation des combles perdus | Isolation des murs par l'extérieur | Isolation des planchers bas</t>
  </si>
  <si>
    <t>Isolation des combles, la vente et la pose d'isolation, le nettoyage et la rénovation des toitures, le ravalement de façade</t>
  </si>
  <si>
    <t>2010-05-03</t>
  </si>
  <si>
    <t>peinture, revêtements de sols et murs ravalement décoration, vitrerie / tous travaux de revêtement de façade, imperméabili sation, étanchéité, isolation, peinture,projection de tous matériaux sur tous supports, pose de revê- tements sur murs et sols, réfection des bétons par mortier synthétique</t>
  </si>
  <si>
    <t>1996-11-04</t>
  </si>
  <si>
    <t>Liquidation judiciaire</t>
  </si>
  <si>
    <t>2025-04-22</t>
  </si>
  <si>
    <t>réalisation d'enduit de façades de sablage de façades nettoyage de façades peinture en bâtiment</t>
  </si>
  <si>
    <t>2018-11-22</t>
  </si>
  <si>
    <t>2013-10-15</t>
  </si>
  <si>
    <t>Plan de redressement</t>
  </si>
  <si>
    <t>2026-04-24</t>
  </si>
  <si>
    <t>ravalement isolation bardage maçonnerie et tous travaux du bâtiment s'y rapportant.</t>
  </si>
  <si>
    <t>2013-01-15</t>
  </si>
  <si>
    <t>Fourniture et pose de tous types de bardage; Couverture et isolation thermique par l'extérieur pour tous bâtiments</t>
  </si>
  <si>
    <t>2018-09-13</t>
  </si>
  <si>
    <t>Ravalement de façades - isolation thermique</t>
  </si>
  <si>
    <t>2016-07-01</t>
  </si>
  <si>
    <t>Étude et réalisation de travaux d'isolation thermique, acoustique et antivibratique, bardage métallique, ignifugation, travaux d'isolation de canalisation de chauffage ou réfrigération, prise de tous procédés, brevets, le tout en sédentaire et en ambulant</t>
  </si>
  <si>
    <t>2009-05-02</t>
  </si>
  <si>
    <t>2021-10-01</t>
  </si>
  <si>
    <t>1999-10-19</t>
  </si>
  <si>
    <t>2021-04-15</t>
  </si>
  <si>
    <t>1994-05-26</t>
  </si>
  <si>
    <t>tous travaux d'entreprise de bardage, d'étanchéité, d'isolation et de pose de tour d'accès / Gestion de participations et gestion administrative comptable et techniques.</t>
  </si>
  <si>
    <t>2017-12-01</t>
  </si>
  <si>
    <t>Fenêtres de toit | Isolation des murs par l'extérieur | Isolation des toitures terrasses ou des toitures par l'extérieur</t>
  </si>
  <si>
    <t>COUVERTURE, ZINGUERIE, CHARPENTE, ETANCHEITES, BARDAGES.</t>
  </si>
  <si>
    <t>2008-01-07</t>
  </si>
  <si>
    <t>pose et application d'enduit</t>
  </si>
  <si>
    <t>2011-10-01</t>
  </si>
  <si>
    <t>Isolation des murs par l'extérieur | Isolation des planchers bas | Isolation des toitures terrasses ou des toitures par l'extérieur</t>
  </si>
  <si>
    <t>Ravalement de façade, peinture, décoration, isolation thermique extérieure, étanchéité, la participation de la Société, par tous moyens, directement ou indirectement, dans toutes opérations pouvant se rattacher à  son objet par voie de création de sociétés nouvelles, d'apport, de souscription ou d'achat de titres ou droits sociaux, de fusion ou autrement, de création, d'acquisition, de location, d</t>
  </si>
  <si>
    <t>2019-03-01</t>
  </si>
  <si>
    <t>la peinture, la décoration, l'isolation thermique extérieurement, le marquage de parking, le ravalement</t>
  </si>
  <si>
    <t>2019-10-24</t>
  </si>
  <si>
    <t>2017-03-01</t>
  </si>
  <si>
    <t>2001-06-01</t>
  </si>
  <si>
    <t>1978-01-01</t>
  </si>
  <si>
    <t>1990-11-01</t>
  </si>
  <si>
    <t>2003-10-01</t>
  </si>
  <si>
    <t>Maçonnerie avec spécialité façades y compris tous travaux courants de vrd maçonnerie béton armé couverture carrelage peinture</t>
  </si>
  <si>
    <t>Tous travaux d'entretien de rénovation de façades extérieures pour tous types de bâtiment travaux de ravalement posé de tous revêtements enduits crépis tous travaux d'Echanteite sur façades mûrs extérieurs terrasses.</t>
  </si>
  <si>
    <t>2008-06-01</t>
  </si>
  <si>
    <t>Plâtrerie peinture isolation extérieure et intérieure façades</t>
  </si>
  <si>
    <t>2003-12-01</t>
  </si>
  <si>
    <t>1988-07-01</t>
  </si>
  <si>
    <t>Tous travaux de ravalement de façades, de bardage, de peinture, d'isolation (plâtrerie et pose de cloisons sèches) tous travaux de finition en bâtiment (neuf et rénovation).</t>
  </si>
  <si>
    <t>2015-01-01</t>
  </si>
  <si>
    <t>1990-01-02</t>
  </si>
  <si>
    <t>Tous travaux de plâtrerie et de finition ravalement de façades peinture et pose de plaques de plâtre</t>
  </si>
  <si>
    <t>2016-06-01</t>
  </si>
  <si>
    <t>Isolation des combles perdus | Isolation des murs par l'extérieur | Isolation des planchers bas | Isolation par l'intérieur des murs ou rampants de toitures  ou plafonds</t>
  </si>
  <si>
    <t>2017-10-10</t>
  </si>
  <si>
    <t>Enduits hydrauliques; isolation par l'extérieur; peinture intérieure / extérieure; travaux de petite maçonnerie.</t>
  </si>
  <si>
    <t>2017-01-12</t>
  </si>
  <si>
    <t>Tous travaux de façades, peinture et par extension tous travaux de maçonnerie générale.</t>
  </si>
  <si>
    <t>2009-03-01</t>
  </si>
  <si>
    <t>Plan de cession</t>
  </si>
  <si>
    <t>2025-02-18</t>
  </si>
  <si>
    <t>2006-07-01</t>
  </si>
  <si>
    <t>1998-04-03</t>
  </si>
  <si>
    <t>2007-09-01</t>
  </si>
  <si>
    <t>2007-10-08</t>
  </si>
  <si>
    <t>entreprise générale de bâtiment, revêtement de façade / entreprise générale de bâtiment, location d'échafaudage.</t>
  </si>
  <si>
    <t>2019-09-25</t>
  </si>
  <si>
    <t>le ravalement de façade en neuf et rénovation, la maçonnerie béton armée, la pose de carrelage et de menuiserie, la peinture en bâtiment.</t>
  </si>
  <si>
    <t>2011-08-29</t>
  </si>
  <si>
    <t>2021-02-23</t>
  </si>
  <si>
    <t>2025-12-11</t>
  </si>
  <si>
    <t>Bardage étanchéité</t>
  </si>
  <si>
    <t>2009-01-07</t>
  </si>
  <si>
    <t>2006-04-10</t>
  </si>
  <si>
    <t>2015-10-01</t>
  </si>
  <si>
    <t>2005-03-01</t>
  </si>
  <si>
    <t>2001-12-01</t>
  </si>
  <si>
    <t>Maçonnerie</t>
  </si>
  <si>
    <t>2015-12-01</t>
  </si>
  <si>
    <t>Tous Tavaux de maçonnerie générale, rénovation, entretien en bâtiment notamment en façades et assimilés</t>
  </si>
  <si>
    <t>2020-11-02</t>
  </si>
  <si>
    <t>L'application de produits de revêtement (enduits, crépis...) Sur tous type de bâtiment ainsi que les petits travaux de maçonnerie.</t>
  </si>
  <si>
    <t>2013-04-18</t>
  </si>
  <si>
    <t>Pose de façade, isolation ; Maçonnerie générale.</t>
  </si>
  <si>
    <t>2021-02-09</t>
  </si>
  <si>
    <t>2003-04-28</t>
  </si>
  <si>
    <t>2005-09-27</t>
  </si>
  <si>
    <t>Fenêtres, volets, portes donnant sur l'extérieur | Isolation des combles perdus | Isolation des murs par l'extérieur | Isolation des planchers bas | Isolation par l'intérieur des murs ou rampants de toitures  ou plafonds</t>
  </si>
  <si>
    <t>2003-04-15</t>
  </si>
  <si>
    <t>Tous travaux de façades et de revêtement.</t>
  </si>
  <si>
    <t>2017-03-20</t>
  </si>
  <si>
    <t>2016-01-04</t>
  </si>
  <si>
    <t>Sauvegarde</t>
  </si>
  <si>
    <t>2026-02-13</t>
  </si>
  <si>
    <t>2011-07-01</t>
  </si>
  <si>
    <t>Isolation des toitures terrasses ou des toitures par l'extérieur</t>
  </si>
  <si>
    <t>2012-01-19</t>
  </si>
  <si>
    <t>2005-07-01</t>
  </si>
  <si>
    <t>2025-10-09</t>
  </si>
  <si>
    <t>L'activité d 'enduiseur de façades et la rénovation de façades, l'isolation extérieure et les travaux de gros oeuvre en maçonnerie</t>
  </si>
  <si>
    <t>2017-11-27</t>
  </si>
  <si>
    <t>2015-06-01</t>
  </si>
  <si>
    <t>2015-04-24</t>
  </si>
  <si>
    <t>Enduits de façades de bâtiments neufs ou à rénover, islation des bâtiments par l'extérieur.</t>
  </si>
  <si>
    <t>2011-09-15</t>
  </si>
  <si>
    <t>2018-04-26</t>
  </si>
  <si>
    <t>2026-05-28</t>
  </si>
  <si>
    <t>Les enduits de façades de bâtiments neufs ou à rénover, l'isolation des bâtiments par l'extérieur.</t>
  </si>
  <si>
    <t>2011-09-26</t>
  </si>
  <si>
    <t>2020-04-01</t>
  </si>
  <si>
    <t>Application de tout enduit de façades ou autres pour toutes constructions ou bâtiments ; travaux de revêtement de protection, d'étanchéité, de plâtrerie ; toutes activités du bâtiment</t>
  </si>
  <si>
    <t>Ravalement, enduits de façades, maçonnerie, couverture et charpente</t>
  </si>
  <si>
    <t>2016-03-01</t>
  </si>
  <si>
    <t>2006-01-01</t>
  </si>
  <si>
    <t>isolation thermique extérieur ravalement de facades isolation couverture panneaux photovoltaiques ventilation</t>
  </si>
  <si>
    <t>2017-06-01</t>
  </si>
  <si>
    <t>application d'enduit de façades et plus généralement tous travaux du bâtiment.</t>
  </si>
  <si>
    <t>2014-07-01</t>
  </si>
  <si>
    <t xml:space="preserve">Ravalement de façades, pierre agrafée et collée, bardage bois et métallique.Tous travaux d'enduits de façades, revêtements et peintures extérieures, isolation thermique par l'extérieur et généralement tous les travaux accessoires a cette activité. / ravalement de façades, pierre agrafée et collée, bardage bois et métallique. tous travaux d'enduits de façades, revêtements et peintures extérieures, </t>
  </si>
  <si>
    <t>2016-08-01</t>
  </si>
  <si>
    <t>2024-09-18</t>
  </si>
  <si>
    <t>prise de participation dans toute société et groupements Consiel d'entreprise.</t>
  </si>
  <si>
    <t>1972-01-01</t>
  </si>
  <si>
    <t>1991-01-01</t>
  </si>
  <si>
    <t>2023-04-25</t>
  </si>
  <si>
    <t>2019-02-12</t>
  </si>
  <si>
    <t>travaux de peinture et ravalement de façades, maçonnerie, carrelage, revêtements de sols et pose de plaques de plâtres. - travaux de peinture et ravalement de faïades, maïonnerie, carrelage, revïtements de sols et pose de plaques de plïtres.</t>
  </si>
  <si>
    <t>2022-02-07</t>
  </si>
  <si>
    <t>tous travaux de bardage d'étanchéité et de toitures, achat et vente de tous biens mobiliers ou immobiliers. Représentant en France d'entreprises étrangères dans le domaine transport terrestre. / tous travaux de bardage d'étanchéité et de toitures, achat et vente de tous biens mobiliers ou immobiliers.</t>
  </si>
  <si>
    <t>2015-11-02</t>
  </si>
  <si>
    <t>2017-05-01</t>
  </si>
  <si>
    <t>2023-07-19</t>
  </si>
  <si>
    <t>2004-07-01</t>
  </si>
  <si>
    <t>1990-10-01</t>
  </si>
  <si>
    <t>2006-09-18</t>
  </si>
  <si>
    <t>Ravalement et remise en état de façades, peinture intérieure et extérieure, décoration et pose de papiers peints et de ravalement de sols, isolation, étanchéité liquide, systèmes SEL et ITE</t>
  </si>
  <si>
    <t>2012-02-28</t>
  </si>
  <si>
    <t>2026-02-04</t>
  </si>
  <si>
    <t>2018-06-27</t>
  </si>
  <si>
    <t>Travaux d'étancheité dans le batiment (terrasses - façades ...) et tous travaux annexes (maçonnerie, peinture, isolation ...) / Fourniture de prestations de services, diagnostics et préconisations techniques, prospection et assistance commercial pour tous travaux d'étancheité dans le secteur du bâtiment et réalisation de travaux annexes à cette activité.</t>
  </si>
  <si>
    <t>2008-06-03</t>
  </si>
  <si>
    <t>2002-09-01</t>
  </si>
  <si>
    <t>2021-11-16</t>
  </si>
  <si>
    <t>2015-11-13</t>
  </si>
  <si>
    <t>2025-12-05</t>
  </si>
  <si>
    <t>1987-09-01</t>
  </si>
  <si>
    <t>Façades maçonnerie bardage peinture isolation.</t>
  </si>
  <si>
    <t>2015-05-04</t>
  </si>
  <si>
    <t>2015-02-25</t>
  </si>
  <si>
    <t>2020-10-20</t>
  </si>
  <si>
    <t>1970-01-01</t>
  </si>
  <si>
    <t>2020-09-04</t>
  </si>
  <si>
    <t>isolation par l'extérieur.</t>
  </si>
  <si>
    <t>2005-04-21</t>
  </si>
  <si>
    <t>Isolation des combles perdus | Isolation des murs par l'extérieur | Isolation des planchers bas</t>
  </si>
  <si>
    <t>2000-04-04</t>
  </si>
  <si>
    <t>travaux de maçonnerie, béton armé, ravalement, rénovation et tous travaux de bâtiment.</t>
  </si>
  <si>
    <t>2017-09-01</t>
  </si>
  <si>
    <t>2018-04-27</t>
  </si>
  <si>
    <t>revêtements extérieurs isolant. la réalisation de tous travaux d'isolation extérieure ou intérieure, de bardage divers et d'application de tous matériaux et revêtements Isolants. l'activité pouvant s'étendre à toutes activités de maçonnerie, menuiserie, enduit, peinture, traitement des mousses, construction et installation d'ossatures et d'habillage bois ainsi qu'à l'entretien et à la réfection de</t>
  </si>
  <si>
    <t>1988-09-01</t>
  </si>
  <si>
    <t>Ravalement de façades par enduit projeté, peintures extérieures, isolation thermique par l'extérieur</t>
  </si>
  <si>
    <t>2013-09-23</t>
  </si>
  <si>
    <t>Ravalement de façade, peinture, isolation.</t>
  </si>
  <si>
    <t>2019-06-01</t>
  </si>
  <si>
    <t>Travaux de réalisation de bardages de toitures</t>
  </si>
  <si>
    <t>2014-11-01</t>
  </si>
  <si>
    <t>tous travaux liés aux façades (neuf, entretien, rénovation, restauration) et à la maçonnerie</t>
  </si>
  <si>
    <t>1999-06-18</t>
  </si>
  <si>
    <t>Commerce de rénovation ou d'isolation de façades de biens immobiliers construits en France ou à l'étranger, en copropriété ou individuellement, ainsi que toute activité connexe ou complémentaire.</t>
  </si>
  <si>
    <t>2018-11-01</t>
  </si>
  <si>
    <t>2013-12-01</t>
  </si>
  <si>
    <t>2012-04-01</t>
  </si>
  <si>
    <t>Fenêtres, volets, portes donnant sur l'extérieur | Isolation des murs par l'extérieur | Isolation par l'intérieur des murs ou rampants de toitures  ou plafonds</t>
  </si>
  <si>
    <t>Toutes activités de peinture, sablage, peinture industrielle dans tout secteur d'activité et notamment activité de peinture sur lignes électriques et postes EDF et plus généralement, toutes prestations de services quelconques ayant un lien direct ou indirect avec ces activités, rénovation de façades et isolation. Travaux de ravalement de façade, peinture.</t>
  </si>
  <si>
    <t>1990-10-09</t>
  </si>
  <si>
    <t>2009-04-01</t>
  </si>
  <si>
    <t>Activité de travaux d'étanchéification, de bâtiment extérieur, couverture, travaux de bâtiment intérieur, peinture, pose de placo, bardage métallique, étanchéité, serrurie, métallerie, murs rideaux aluminium, serrurerie aluminium et toutes activités se rapprochant des bâtiments industriels.</t>
  </si>
  <si>
    <t>2013-06-01</t>
  </si>
  <si>
    <t>Ravalement de façades, isolation par extérieur</t>
  </si>
  <si>
    <t>2018-12-01</t>
  </si>
  <si>
    <t>2001-01-02</t>
  </si>
  <si>
    <t>2002-03-14</t>
  </si>
  <si>
    <t>Ravalement de façades, peinture extérieure et isolation thermique par l'extérieur</t>
  </si>
  <si>
    <t>2014-01-01</t>
  </si>
  <si>
    <t>2007-10-01</t>
  </si>
  <si>
    <t>2010-03-01</t>
  </si>
  <si>
    <t>Ravalement de façade</t>
  </si>
  <si>
    <t>2016-09-01</t>
  </si>
  <si>
    <t>Façades et isolation par l'extérieur</t>
  </si>
  <si>
    <t>2013-10-01</t>
  </si>
  <si>
    <t>2004-01-01</t>
  </si>
  <si>
    <t>Travaux d'étanchéité, d'isolation, de couverture et de revêtements de façades.</t>
  </si>
  <si>
    <t>2004-01-12</t>
  </si>
  <si>
    <t>Fenêtres de toit | Isolation des combles perdus | Isolation des toitures terrasses ou des toitures par l'extérieur</t>
  </si>
  <si>
    <t>2023-02-16</t>
  </si>
  <si>
    <t>2019-01-30</t>
  </si>
  <si>
    <t>Rénovation imperméabilité de façades isolation thermique par extérieur rénovation de toitures pose de menuiseries ainsi que l'ensemble des travaux de maçonnerie et de rénovation de l'habitat / Rénovation imperméablilité de façades isolation thermique par extérieur rénovation de toitures pose de menuiseries ainsi que ensemble des travaux de maçonnerie et de rénovation de l 'habitat</t>
  </si>
  <si>
    <t>2011-06-01</t>
  </si>
  <si>
    <t>Restauration rénovation ravalement et revêtement de façade isolation thermique par l'extérieur</t>
  </si>
  <si>
    <t>2010-10-01</t>
  </si>
  <si>
    <t>2026-03-27</t>
  </si>
  <si>
    <t>2018-10-01</t>
  </si>
  <si>
    <t>1997-09-01</t>
  </si>
  <si>
    <t>2000-03-01</t>
  </si>
  <si>
    <t>1991-03-01</t>
  </si>
  <si>
    <t>2018-09-25</t>
  </si>
  <si>
    <t>Travaux de ravalement de façades, d'isolation et d'étanchéité extérieure, travaux de maçonnerie générale / ravalement de façades, travaux d'isolation et travaux d'étanchéité.</t>
  </si>
  <si>
    <t>2016-05-12</t>
  </si>
  <si>
    <t>ravalement de façades - traitement de façades - isolation système d'imperméabilité - travaux de peinture et traitement de tuiles.</t>
  </si>
  <si>
    <t>2013-05-13</t>
  </si>
  <si>
    <t>Ravalement de façades, plâtrerie, peinture et isolation.</t>
  </si>
  <si>
    <t>2009-01-05</t>
  </si>
  <si>
    <t>Tous travaux de peinture,d'enduits extérieurs projetés et de ravalement de façades et plus généralement tous travaux de finition du bâtiment.</t>
  </si>
  <si>
    <t>2008-03-01</t>
  </si>
  <si>
    <t>Tous travaux de façades et d'enduits, ravalement et rénovation de façades, isolation et peinture extérieures.</t>
  </si>
  <si>
    <t>2020-10-27</t>
  </si>
  <si>
    <t>1999-01-04</t>
  </si>
  <si>
    <t>travaux d'isolation par l'extérieur, enduits de façades et Ravalements, travaux de petite maçonnerie intérieure et extérieure, travaux de plâtrerie peinture.</t>
  </si>
  <si>
    <t>2015-04-01</t>
  </si>
  <si>
    <t>Tous travaux de construction spécialisés et plus généralement relatifs au bâtiment.</t>
  </si>
  <si>
    <t>2019-09-05</t>
  </si>
  <si>
    <t>tous travaux de revêtement, d'enduit et de peinture de façade; tous travaux d'isolation thermique extérieure; les travaux de sablage et de gommage</t>
  </si>
  <si>
    <t>2017-06-23</t>
  </si>
  <si>
    <t>tous travaux par tous procédés et moyens techniques, de l'étanchéité, l'isolation, la couverture et le bardage, ainsi que la réalisation de tous travaux dans le bâtiment.</t>
  </si>
  <si>
    <t>2012-10-08</t>
  </si>
  <si>
    <t>Tous travaux de finition du bâtiment et plus particulièrement le ravalement de façades par enduit ou peinture ou autre, tous travaux d'isolation par l'extérieur, tous travaux de bardage et de parement.</t>
  </si>
  <si>
    <t>1997-06-10</t>
  </si>
  <si>
    <t>Ravalement de façades,isolation et peinture extérieures et plus généralement tous travaux du bâtiment.</t>
  </si>
  <si>
    <t>Maçonnerie, Enduisage par extension, isolation thermique.</t>
  </si>
  <si>
    <t>1991-07-01</t>
  </si>
  <si>
    <t>2010-04-29</t>
  </si>
  <si>
    <t>2002-01-22</t>
  </si>
  <si>
    <t>2026-06-10</t>
  </si>
  <si>
    <t>Mise en oeuvre d'enduit de façade de bâtiment, isolation thermique, travaux de maçonnerie, ravalement façade.</t>
  </si>
  <si>
    <t>2009-01-29</t>
  </si>
  <si>
    <t>2004-10-05</t>
  </si>
  <si>
    <t>Peinture et ravalement</t>
  </si>
  <si>
    <t>1997-09-30</t>
  </si>
  <si>
    <t>2009-08-01</t>
  </si>
  <si>
    <t>2015-06-18</t>
  </si>
  <si>
    <t>ravalement de façades et murs extérieurs et de tous travaux d'enduit de façades et d'isolation par l'extérieur / Travaux de peinture, décoration intérieure, ravalement et sols ; négoce de tous produits décoratifs.</t>
  </si>
  <si>
    <t>2011-02-01</t>
  </si>
  <si>
    <t>Fenêtres de toit | Isolation des combles perdus | Isolation des murs par l'extérieur | Isolation des toitures terrasses ou des toitures par l'extérieur | Isolation par l'intérieur des murs ou rampants de toitures  ou plafonds</t>
  </si>
  <si>
    <t>2020-02-28</t>
  </si>
  <si>
    <t>Peinture en bâtiment (peintures intérieures et extérieures), décoration, revêtements muraux, enduit pelliculaire, nettoyage de toits.</t>
  </si>
  <si>
    <t>2009-06-24</t>
  </si>
  <si>
    <t>2016-01-14</t>
  </si>
  <si>
    <t>Isolation thermique par l'extérieur, peinture, imperméabilisation et enduits décoratifs</t>
  </si>
  <si>
    <t>2012-04-23</t>
  </si>
  <si>
    <t>2018-09-17</t>
  </si>
  <si>
    <t>1990-02-01</t>
  </si>
  <si>
    <t>2021-02-04</t>
  </si>
  <si>
    <t>2004-02-16</t>
  </si>
  <si>
    <t>2015-02-20</t>
  </si>
  <si>
    <t>2007-03-20</t>
  </si>
  <si>
    <t>Bardage, bacs acier</t>
  </si>
  <si>
    <t>Entreprise générale de bardage, d'étanchéité, d'isolation, de couverture et de pose de filets.</t>
  </si>
  <si>
    <t>2013-03-15</t>
  </si>
  <si>
    <t>Maçonnerie, couverture, bardage, ravalements de façade, isolation intérieur et extérieur, peinture intérieur et extérieur, carrelage. / Etanchéité, couverture, bardage.</t>
  </si>
  <si>
    <t>2013-03-07</t>
  </si>
  <si>
    <t>Fenêtres de toit | Isolation des combles perdus | Isolation des murs par l'extérieur | Isolation par l'intérieur des murs ou rampants de toitures  ou plafonds</t>
  </si>
  <si>
    <t>2003-01-01</t>
  </si>
  <si>
    <t>2002-02-01</t>
  </si>
  <si>
    <t>1986-04-01</t>
  </si>
  <si>
    <t>Ravalement de façade, plâtrerie intérieure, travaux d'isolation, maçonnerie générale, isolation par l'extérieur, peinture, cloison sèche</t>
  </si>
  <si>
    <t>1997-10-01</t>
  </si>
  <si>
    <t>2001-10-01</t>
  </si>
  <si>
    <t>2007-07-01</t>
  </si>
  <si>
    <t>Isolation des combles perdus | Isolation des murs par l'extérieur | Isolation par l'intérieur des murs ou rampants de toitures  ou plafonds</t>
  </si>
  <si>
    <t>2008-05-05</t>
  </si>
  <si>
    <t>Second oeuvre du bâtiment : Isolation, ravalement de façades, bardage, peinture, placo.</t>
  </si>
  <si>
    <t>2004-06-01</t>
  </si>
  <si>
    <t>Isolation thermique par l'extérieur, ravalement et nettoyage de façades et de toitures</t>
  </si>
  <si>
    <t>2014-03-20</t>
  </si>
  <si>
    <t>2019-10-28</t>
  </si>
  <si>
    <t>Isolation des combles perdus | Isolation des murs par l'extérieur | Isolation des planchers bas | Isolation par l'intérieur des murs ou rampants de toitures  ou plafonds | Radiateurs électriques, dont régulation. | Ventilation mécanique</t>
  </si>
  <si>
    <t>2022-01-02</t>
  </si>
  <si>
    <t>2016-11-10</t>
  </si>
  <si>
    <t>1999-05-02</t>
  </si>
  <si>
    <t>Peinture vitrerie parquets revêtements de sols et murs vitrification rénovation de biens immobiliers tous travaux de peinture extérieur et intérieur tous travaux de ravalemt et isolation thermique par l'extérieur vente de produits et de matériel se rapportant aux parquets revêtements de sols et murs ainsi que de peinture pouvant se rattacher directement ou Inidirectement à l'objet</t>
  </si>
  <si>
    <t>2013-01-07</t>
  </si>
  <si>
    <t>2008-07-04</t>
  </si>
  <si>
    <t>Maçonnerie générale multiservices tout corps d'état</t>
  </si>
  <si>
    <t>1999-06-01</t>
  </si>
  <si>
    <t>Ravalement de façade maçonnerie générale</t>
  </si>
  <si>
    <t>2013-07-10</t>
  </si>
  <si>
    <t>Fenêtres de toit | Isolation des combles perdus | Isolation des murs par l'extérieur | Isolation des planchers bas | Isolation par l'intérieur des murs ou rampants de toitures  ou plafonds | Ventilation mécanique</t>
  </si>
  <si>
    <t>Ravalement de façade peinture isolation extérieure et intérieure</t>
  </si>
  <si>
    <t>2013-10-07</t>
  </si>
  <si>
    <t>tous travaux se rapportant au ravalement de façades - tous travaux se rapportant aux ravalements de façades / Tous travaux se rapportant au ravalement de façades</t>
  </si>
  <si>
    <t>Pose de bardage / pose de bardage.</t>
  </si>
  <si>
    <t>2015-03-04</t>
  </si>
  <si>
    <t>Construction maçonnerie ravalement</t>
  </si>
  <si>
    <t>2010-01-28</t>
  </si>
  <si>
    <t>entreprise générale de bâtiment, tous corps d'état</t>
  </si>
  <si>
    <t>2008-01-02</t>
  </si>
  <si>
    <t>Fenêtres de toit | Isolation des combles perdus | Isolation des murs par l'extérieur | Isolation des planchers bas | Isolation des toitures terrasses ou des toitures par l'extérieur | Isolation par l'intérieur des murs ou rampants de toitures  ou plafonds</t>
  </si>
  <si>
    <t>1991-09-09</t>
  </si>
  <si>
    <t>ravalement, peinture, rénovation intérieure et extérieure (revêtements de murs et de sols, placo). Toutes prestations de services et de négoce en lien avec les activités ci-avant</t>
  </si>
  <si>
    <t>2020-07-01</t>
  </si>
  <si>
    <t>- l'exercice de l'activité de ravalement des façades et de maçonnerie ;</t>
  </si>
  <si>
    <t>2023-04-14</t>
  </si>
  <si>
    <t>1993-10-01</t>
  </si>
  <si>
    <t>2001-02-05</t>
  </si>
  <si>
    <t>2003-10-08</t>
  </si>
  <si>
    <t>2019-07-18</t>
  </si>
  <si>
    <t>2006-09-13</t>
  </si>
  <si>
    <t>2017-02-15</t>
  </si>
  <si>
    <t>Enduits, plâtrerie.</t>
  </si>
  <si>
    <t>2011-12-21</t>
  </si>
  <si>
    <t>2013-02-21</t>
  </si>
  <si>
    <t>Ravalement, sablage, enduit extérieur</t>
  </si>
  <si>
    <t>2014-01-23</t>
  </si>
  <si>
    <t>2006-05-12</t>
  </si>
  <si>
    <t>travaux de ravalement de façades</t>
  </si>
  <si>
    <t>2009-03-16</t>
  </si>
  <si>
    <t>2011-03-01</t>
  </si>
  <si>
    <t>ravalement de façades, Isolation extérieure, peinture extérieure et intérieure, maçonnerie générale</t>
  </si>
  <si>
    <t>2017-03-07</t>
  </si>
  <si>
    <t>2001-07-10</t>
  </si>
  <si>
    <t>tous travaux de bâtiment, maçonnerie, béton armé, crépis en tous genres, peinture et ravalement de façades, isolation extérieure</t>
  </si>
  <si>
    <t>2010-01-15</t>
  </si>
  <si>
    <t>ravalement de façades travaux de peinture d'isolation de construction de réparation ou d'amélioration de bâtiments négociant en matériaux / ravalement de façades travaux de peinture d'isolation de construction de réparation ou d'amélioration de bâtiments</t>
  </si>
  <si>
    <t>crépis extérieur et intérieur, isolation intérieur et extérieur</t>
  </si>
  <si>
    <t>2014-04-01</t>
  </si>
  <si>
    <t>2018-03-05</t>
  </si>
  <si>
    <t>2005-09-15</t>
  </si>
  <si>
    <t>application d'enduits crépis peinture</t>
  </si>
  <si>
    <t>2008-11-03</t>
  </si>
  <si>
    <t>tous travaux de façade, isolation, peinture extérieure</t>
  </si>
  <si>
    <t>2011-09-05</t>
  </si>
  <si>
    <t>1990-03-08</t>
  </si>
  <si>
    <t>1999-08-01</t>
  </si>
  <si>
    <t>2000-04-15</t>
  </si>
  <si>
    <t>Plan de sauvegarde</t>
  </si>
  <si>
    <t>2021-09-22</t>
  </si>
  <si>
    <t>travaux isolation extérieure, intérieure et ravalement de façades</t>
  </si>
  <si>
    <t>2014-01-15</t>
  </si>
  <si>
    <t>2020-03-09</t>
  </si>
  <si>
    <t>2011-04-01</t>
  </si>
  <si>
    <t>2004-12-01</t>
  </si>
  <si>
    <t>2019-04-01</t>
  </si>
  <si>
    <t>Peintures extérieures, peintures intérieures, ravalement de façades, pose de sols souples, tous travaux décoration et d'embellisement.</t>
  </si>
  <si>
    <t>2009-07-01</t>
  </si>
  <si>
    <t>2006-11-22</t>
  </si>
  <si>
    <t>Travaux de peinture intérieure et extérieur, isolation thermique extérieur, revêtements de sols souples.</t>
  </si>
  <si>
    <t>2010-10-15</t>
  </si>
  <si>
    <t>1996-12-30</t>
  </si>
  <si>
    <t>2025-10-01</t>
  </si>
  <si>
    <t>ravalement et réfection de façades et travaux du second oeuvre du bâtiment</t>
  </si>
  <si>
    <t>2008-10-01</t>
  </si>
  <si>
    <t>Ravalement, revêtement et entretien de toutes façades.</t>
  </si>
  <si>
    <t>2000-01-03</t>
  </si>
  <si>
    <t>Fenêtres de toit | Fenêtres, volets, portes donnant sur l'extérieur | Isolation des combles perdus | Isolation des murs par l'extérieur | Isolation des planchers bas | Isolation des toitures terrasses ou des toitures par l'extérieur | Isolation par l'intérieur des murs ou rampants de toitures  ou plafonds | Ventilation mécanique</t>
  </si>
  <si>
    <t>Entreprise générale de peinture, ravalement de façades, isolation thermique, vitrerie, maçonnerie, de sols et murs bardage ainsi que la maîtrise d'oeuvre dans Ces mêmes domaines d'activité.</t>
  </si>
  <si>
    <t>2015-01-10</t>
  </si>
  <si>
    <t>etude vente et fourniture de produits de couver- ture étancheité membrane bardage pose exécuté par l'entreprise et en sous traitance</t>
  </si>
  <si>
    <t>2020-06-15</t>
  </si>
  <si>
    <t>Etanchéité, bardage.</t>
  </si>
  <si>
    <t>2022-11-21</t>
  </si>
  <si>
    <t>Tous travaux de ravalement, bardage d'étanchéité, d'isolation, de montage et démontage de bâtiments destinés aux professionnels et aux particuliers et tous travaux liés au bâtiment</t>
  </si>
  <si>
    <t>2010-07-19</t>
  </si>
  <si>
    <t>Bardage étanchéité.</t>
  </si>
  <si>
    <t>2016-10-01</t>
  </si>
  <si>
    <t>1994-04-01</t>
  </si>
  <si>
    <t>2022-09-01</t>
  </si>
  <si>
    <t>2010-09-01</t>
  </si>
  <si>
    <t>Fenêtres de toit | Fenêtres, volets, portes donnant sur l'extérieur | Isolation des combles perdus | Isolation des murs par l'extérieur | Isolation des planchers bas | Isolation des toitures terrasses ou des toitures par l'extérieur | Isolation par l'intérieur des murs ou rampants de toitures  ou plafonds</t>
  </si>
  <si>
    <t>Charpentes, couvertures, zinguerie, ossatures bois, plâtrerie, isolation et maçonnerie / Charpentes, couvertures, zinguerie, ossatures bois, plâtrerie, isolation et maçonnerie.</t>
  </si>
  <si>
    <t>Chaudière condensation ou micro-cogénération gaz ou fioul | Chauffe-Eau Thermodynamique | Isolation des murs par l'extérieur | Isolation des toitures terrasses ou des toitures par l'extérieur | Pompe à chaleur : chauffage | Radiateurs électriques, dont régulation. | Ventilation mécanique</t>
  </si>
  <si>
    <t>couverture plomberie chauffage étanchéité rénovation tous corps d'état</t>
  </si>
  <si>
    <t>1997-11-01</t>
  </si>
  <si>
    <t>2019-03-25</t>
  </si>
  <si>
    <t>toutes activités liées aux travaux d'étanchéité et à la pose de bardage.</t>
  </si>
  <si>
    <t>2022-08-05</t>
  </si>
  <si>
    <t>2018-03-01</t>
  </si>
  <si>
    <t>Ravalement de façades carrelage maçonnerie rénovations diverses</t>
  </si>
  <si>
    <t>2011-12-26</t>
  </si>
  <si>
    <t>Isolation traitement façades isolation par intérieure et extérieure de tous type de bâtiment travaux de peinture intérieure extérieure plâtrier plaquiste négoce de produits industriels et chimiques activité de conseil</t>
  </si>
  <si>
    <t>2017-04-01</t>
  </si>
  <si>
    <t>toutes activités du secteur du bâtiment, et notamment tous travaux d'enduit et d'isolation</t>
  </si>
  <si>
    <t>2021-10-14</t>
  </si>
  <si>
    <t>2026-06-25</t>
  </si>
  <si>
    <t>Peinture, ravalement, étanchéité de façades, revêtements et rénovation des sols et murs, isolation extérieure, bardage, vitrerie, achat et revente de biens mobiliers et immobiliers.</t>
  </si>
  <si>
    <t>1989-07-01</t>
  </si>
  <si>
    <t>2024-05-15</t>
  </si>
  <si>
    <t>Tous travaux du bâtiment et plus particulièrement le ravalement l'isolation et l'enduit des façades</t>
  </si>
  <si>
    <t>1994-07-01</t>
  </si>
  <si>
    <t>Réalisation d'enduits, peintures, vitreries, ravalement / Le négoce, la fourniture et la pose de tous matériaux se rapportant aux finitions de façade en gros oeuvre. Tous les travaux et activités intéressant les secteurs de l'isolation et du bâtiment.</t>
  </si>
  <si>
    <t>2017-12-08</t>
  </si>
  <si>
    <t>2006-01-24</t>
  </si>
  <si>
    <t>1993-05-03</t>
  </si>
  <si>
    <t>2023-03-09</t>
  </si>
  <si>
    <t>1982-04-16</t>
  </si>
  <si>
    <t>1999-10-01</t>
  </si>
  <si>
    <t>2003-02-15</t>
  </si>
  <si>
    <t>1997-05-20</t>
  </si>
  <si>
    <t>Traitement et rénovation de façades, traitement et rénovation de toitures, maçonnerie, peinture</t>
  </si>
  <si>
    <t>2007-02-01</t>
  </si>
  <si>
    <t>2020-01-03</t>
  </si>
  <si>
    <t>Travaux de façades et peinture et accessoirement tous travaux de second oeuvre</t>
  </si>
  <si>
    <t>2010-07-01</t>
  </si>
  <si>
    <t>2026-02-25</t>
  </si>
  <si>
    <t>2022-04-12</t>
  </si>
  <si>
    <t>2026-09-02</t>
  </si>
  <si>
    <t>Bureau d'études expertises conseil suivi et contrôle de travaux thermiques du BTP</t>
  </si>
  <si>
    <t>2015-10-28</t>
  </si>
  <si>
    <t>2024-06-26</t>
  </si>
  <si>
    <t>Tous travaux de peinture en bâtiment et tout ce qui se rattach directement ou indirectement à l'objet social</t>
  </si>
  <si>
    <t>2011-09-08</t>
  </si>
  <si>
    <t>Autre jugement</t>
  </si>
  <si>
    <t>2020-09-01</t>
  </si>
  <si>
    <t>2017-09-20</t>
  </si>
  <si>
    <t>2007-04-01</t>
  </si>
  <si>
    <t>2005-06-01</t>
  </si>
  <si>
    <t>1987-04-06</t>
  </si>
  <si>
    <t>2003-03-10</t>
  </si>
  <si>
    <t>crépissage, ravalement de façades</t>
  </si>
  <si>
    <t>2011-05-09</t>
  </si>
  <si>
    <t>Charpente couverture bardage étanchéité plâtrerie peinture isolation</t>
  </si>
  <si>
    <t>2013-05-02</t>
  </si>
  <si>
    <t>1993-07-28</t>
  </si>
  <si>
    <t>plâtrerie peinture façade / plâtrerie peinture carrelage revêtements de sols et tous travaux de bâtiment.</t>
  </si>
  <si>
    <t>2000-01-01</t>
  </si>
  <si>
    <t>1964-01-01</t>
  </si>
  <si>
    <t>1986-01-01</t>
  </si>
  <si>
    <t>Ravalement façades et isolation par l'extérieur</t>
  </si>
  <si>
    <t>2001-12-17</t>
  </si>
  <si>
    <t>Travaux de peinture intérieure et extérieure et façade</t>
  </si>
  <si>
    <t>2013-05-06</t>
  </si>
  <si>
    <t>2021-02-15</t>
  </si>
  <si>
    <t>2022-03-01</t>
  </si>
  <si>
    <t>1993-04-01</t>
  </si>
  <si>
    <t>2017-03-15</t>
  </si>
  <si>
    <t>Restauration sandwicherie salon de thé</t>
  </si>
  <si>
    <t>2004-03-01</t>
  </si>
  <si>
    <t>2020-12-11</t>
  </si>
  <si>
    <t>Pose de bardages, réalisation et rénovation de façades traditionnelles et techniques.</t>
  </si>
  <si>
    <t>2019-06-26</t>
  </si>
  <si>
    <t>Ravalement de façades, plâtrerie, peinture</t>
  </si>
  <si>
    <t>2014-09-01</t>
  </si>
  <si>
    <t>2004-03-15</t>
  </si>
  <si>
    <t>1990-09-01</t>
  </si>
  <si>
    <t>ravalement de façades, isolation par l'extérieur, peinture, pose de pierres, travaux de maçonnerie, sablage.</t>
  </si>
  <si>
    <t>2017-09-29</t>
  </si>
  <si>
    <t>tous travaux de ravalement de façades, entreprise générale de bâtiment, négoce et pose de tous matériaux d'aménagement extérieur (pierres, pavés, dalles, carrelages, etc.).</t>
  </si>
  <si>
    <t>1992-03-23</t>
  </si>
  <si>
    <t>2013-03-19</t>
  </si>
  <si>
    <t>Travaux sur façades, plâtrerie, enduit de façade, peinture, isolation, traitement des boiseries, revêtements, petits travaux de décoration.</t>
  </si>
  <si>
    <t>2016-03-24</t>
  </si>
  <si>
    <t>2019-06-24</t>
  </si>
  <si>
    <t>Réalisation de tous travaux de ravalement de façades</t>
  </si>
  <si>
    <t>Façadier, maître d'oeuvre, travaux de maçonnerie, de peinture, tous travaux de rénovation neuf ou ancien, conducteur de travaux.</t>
  </si>
  <si>
    <t>Entreprise générale de bâtiment, nettoyage, peinture, ravalement, couverture, distributeur de prospectus.</t>
  </si>
  <si>
    <t>2011-10-15</t>
  </si>
  <si>
    <t>L'installation de panneaux Photovoltaiques. La réalisation de tous travaux de façades, l'achat et la vente de tous produits et matériels de façades, tous petits travaux de bâtiment. Et plus généralement tous opérations industrielles et commerciales se rapportant a : la création, l'acquisition, la location, la prise en location-gérance de tous fonds de commerce, la prise a bail, l'installation, l'e</t>
  </si>
  <si>
    <t>2015-06-23</t>
  </si>
  <si>
    <t>Bardage, mur-rideau, menuiserie extérieur et intérieur. / bardage, mur-rideau, menuiserie extérieur et intérieur.</t>
  </si>
  <si>
    <t>2017-01-02</t>
  </si>
  <si>
    <t>Bardage, menuiserie aluminium, Pvc et bois.</t>
  </si>
  <si>
    <t>2015-08-17</t>
  </si>
  <si>
    <t>2026-06-18</t>
  </si>
  <si>
    <t>Travaux de décoration, serrurerie, peinture, ravalement, isolation.</t>
  </si>
  <si>
    <t>2023-07-27</t>
  </si>
  <si>
    <t>2021-01-26</t>
  </si>
  <si>
    <t>Travaux neufs et rénovation menuiserie bardage isolation extérieur tous types d'enduits de façade, tous supports, ravalement, nettoyage, décapage</t>
  </si>
  <si>
    <t>2017-06-15</t>
  </si>
  <si>
    <t>La société a pour objet la pose de bardage.</t>
  </si>
  <si>
    <t>2021-12-20</t>
  </si>
  <si>
    <t>Toute activité de ravalement de façades, de traitement et d'application de produits spéciaux, nettoyage et sablage, en général toute activité de négoce, prestation de services liées au bâtiment.</t>
  </si>
  <si>
    <t>1996-02-22</t>
  </si>
  <si>
    <t>Mur-rideau, menuiserie extérieur et intérieur.</t>
  </si>
  <si>
    <t>2016-04-11</t>
  </si>
  <si>
    <t>Ravalement, maçonnerie générale, carrelage et peinture</t>
  </si>
  <si>
    <t>2020-06-04</t>
  </si>
  <si>
    <t>Ravalement, amélioration thermique, travaux du bâtiment extérieur</t>
  </si>
  <si>
    <t>2014-07-21</t>
  </si>
  <si>
    <t>Construction ravalement extérieur et extention</t>
  </si>
  <si>
    <t>2014-04-10</t>
  </si>
  <si>
    <t>2018-12-21</t>
  </si>
  <si>
    <t>Activités de couverture, plomberie, Instalations de génie climatique, isolation, menuiserie, bardages, parquets, décoration et aménagement de combles.</t>
  </si>
  <si>
    <t>2014-12-01</t>
  </si>
  <si>
    <t>Ravalement, enduits, parquet, carrelage et peinture</t>
  </si>
  <si>
    <t>2014-09-08</t>
  </si>
  <si>
    <t>La fourniture et la pose d'isolants thermiques et de produits de ravalement, le nettoyage industriel</t>
  </si>
  <si>
    <t>Maçonnerie, ravalement, gros oeuvre et tous travaux de bâtiments</t>
  </si>
  <si>
    <t>2009-06-01</t>
  </si>
  <si>
    <t>Ravalement projeté, isolation thermique.</t>
  </si>
  <si>
    <t>1991-01-02</t>
  </si>
  <si>
    <t>Conseil en stratégie et secrétariat pour les entreprises et les particuliers</t>
  </si>
  <si>
    <t>2014-12-15</t>
  </si>
  <si>
    <t>2026-03-03</t>
  </si>
  <si>
    <t>2021-10-22</t>
  </si>
  <si>
    <t>2026-02-06</t>
  </si>
  <si>
    <t>L'entreprise générale de tous travaux de ravalement, maçonnerie, béton arme, peinture intérieure et extérieure, agencement, isolation, vitrerie, ravalement, terrassement et tout ce qui concerne la décoration ; la finition totale de constructions (couverture, menuiserie, installation sanitaire, chauffage, serrurerie, peintures). / l'entreprise générale de tous travaux de ravalement, maçonnerie, bét</t>
  </si>
  <si>
    <t>2012-10-23</t>
  </si>
  <si>
    <t>couverture, bardage, étanchéité, façade en acier, et bois toutes prestations de services pour toute personne physique ou morale, toute transaction mobilière ou immobilière, achat ou vente et en général toute opération industrielle, commerciale ou financière pouvant se rattacher directement ou indirectement a l'objet social ou susceptible d'en faciliter et l'extension.</t>
  </si>
  <si>
    <t>2017-11-25</t>
  </si>
  <si>
    <t>Tous travaux du bâtiment en particulier tous travaux de couverture et de bardage</t>
  </si>
  <si>
    <t>2002-01-02</t>
  </si>
  <si>
    <t>2021-10-26</t>
  </si>
  <si>
    <t>2003-02-14</t>
  </si>
  <si>
    <t>Ravalement, maçonnerie, carrelage, plaquettes.</t>
  </si>
  <si>
    <t>2006-01-03</t>
  </si>
  <si>
    <t>ravalement, isolation, peinture, plaquette, bardage. / ravalement, isolation, peinture, plaquette..</t>
  </si>
  <si>
    <t>2017-01-20</t>
  </si>
  <si>
    <t>Entreprise générale de bâtiment, ravalement, peinture, carrelage et rénovation, Import-Export.</t>
  </si>
  <si>
    <t>2007-03-19</t>
  </si>
  <si>
    <t>1985-12-31</t>
  </si>
  <si>
    <t>peinture intérieure et extérieure, façade, isolation intérieure et extérieure.</t>
  </si>
  <si>
    <t>2019-02-18</t>
  </si>
  <si>
    <t>1989-09-01</t>
  </si>
  <si>
    <t>2015-10-15</t>
  </si>
  <si>
    <t>Isolation des combles perdus | Isolation par l'intérieur des murs ou rampants de toitures  ou plafonds</t>
  </si>
  <si>
    <t>1986-12-15</t>
  </si>
  <si>
    <t>l'exécution de façades métalliques, murs rideaux, menuiseries métalliques, l'importation-exportation, le commerce en gros de produits.</t>
  </si>
  <si>
    <t>2023-04-18</t>
  </si>
  <si>
    <t>1997-04-01</t>
  </si>
  <si>
    <t>2026-05-12</t>
  </si>
  <si>
    <t>2020-01-29</t>
  </si>
  <si>
    <t>1990-07-01</t>
  </si>
  <si>
    <t>1986-10-01</t>
  </si>
  <si>
    <t>tous travaux sur facades et murs extérieurs,pose revetements, matériaux et produits d'isolation commercialisation, fabrication et pose de tout support permettant la récupération des eaux de pluies afin d'en exploiter l'energie</t>
  </si>
  <si>
    <t>2010-05-06</t>
  </si>
  <si>
    <t>Tous travaux sur façades et murs extérieurs, pose de revêtements, matériaux et produits d'isolation, commercialisation, fabrication et pose de tout support, Travaux de peinture extérieure et intérieure, crépis et ravalement de façade ; Isolation intérieure et extérieure; Tous travaux de rénovation; Toutes opérations quelconques contribuant à la réalisation de cet objet.</t>
  </si>
  <si>
    <t>Travaux de maçonnerie générale, plâtrerie, carrelage, enduit, peinture, pour constructions neuves ou rénovations de bâtiments publics, industriels et logements privés.</t>
  </si>
  <si>
    <t>2018-02-02</t>
  </si>
  <si>
    <t>2016-12-13</t>
  </si>
  <si>
    <t>Vente et pose de système de protection et d'isolation de façades / Pose et vente de système de protection et d'isolation de façade / Pose et vente de système de protection et d'isolation de façades et de systèmes d'isolation thermique pour le bâtiment</t>
  </si>
  <si>
    <t>Ravalement et enduits de façades peinturé et tous petits travaux de maçonnerie</t>
  </si>
  <si>
    <t>2007-11-05</t>
  </si>
  <si>
    <t>2009-02-01</t>
  </si>
  <si>
    <t>2022-01-05</t>
  </si>
  <si>
    <t>1979-01-01</t>
  </si>
  <si>
    <t>2004-05-11</t>
  </si>
  <si>
    <t>1998-01-12</t>
  </si>
  <si>
    <t>tous travaux de ravalement et d'isolation par l'extérieur de façades, tous travaux de maçonnerie. toutes activités complémentaires ou connexes se rapportant aux objets ci-avant cités.</t>
  </si>
  <si>
    <t>2016-01-02</t>
  </si>
  <si>
    <t>Ravalement de façades neuf et rénovation, démolition, isolation par l'extérieur, peinture, projection d'enduits, petite maçonnerie.</t>
  </si>
  <si>
    <t>2020-09-02</t>
  </si>
  <si>
    <t>ravalement de façades</t>
  </si>
  <si>
    <t>2014-02-25</t>
  </si>
  <si>
    <t>négoce matériaux toutes fournitures du bâtiment, construction, location de tout matériel de chantier. / traitement des façades plâtrerie peintures maçonnerie et plus généralement tous les travaux liés à la rénovation et à la construction de bâtiments.</t>
  </si>
  <si>
    <t>2011-01-10</t>
  </si>
  <si>
    <t>Pose et commercialisation de tous types de menuiserie et fermetures tous travaux d'isolation et de bardage et achat vente des matériaux néecessaires pour ces activités / Montage installation aménagement de terrasses isolation bardage achat vente de matériels et matériels necessaires aux activités ci-dessus.</t>
  </si>
  <si>
    <t>2008-04-07</t>
  </si>
  <si>
    <t>2002-04-04</t>
  </si>
  <si>
    <t>L'application d'enduits et de peintures, de produits et de traitements sur tous éléments ou supports de bâtiments, de matériaux ; tous travaux de ravalement de façades, d'isolation thermique par l'extérieur et de traitement et d'entretien des façades ; la vente, à titre accessoire, de tous produits relatifs au bâtiment / L'application d'enduits et de peintures, de produits et de traitements sur to</t>
  </si>
  <si>
    <t>2019-03-19</t>
  </si>
  <si>
    <t>2017-01-04</t>
  </si>
  <si>
    <t>2005-05-01</t>
  </si>
  <si>
    <t>enduit et peintures sur façades en neuf ou en rénovation.</t>
  </si>
  <si>
    <t>2020-01-13</t>
  </si>
  <si>
    <t>2026-01-29</t>
  </si>
  <si>
    <t>1993-03-02</t>
  </si>
  <si>
    <t>Tous travaux d'isolation le bardage et ravalement travaux de serrurier l étanchéité Vrd les aménagements extérieurs le négoce de tous produits et matériaux s'y rapportant</t>
  </si>
  <si>
    <t>Activité de Facadeur l'isolation par l'extérieur toutes activités de maçonnerie terrassement assainissement achat location ou vente de tous matériels outils et machines</t>
  </si>
  <si>
    <t>2015-06-04</t>
  </si>
  <si>
    <t>Travaux de bardage, isolation intérieure et extérieure, travaux de plâtrerie, revêtement de façade et la réalisation de travaux du bâtiment, tous corps d'état</t>
  </si>
  <si>
    <t>2019-10-19</t>
  </si>
  <si>
    <t>Tous travaux Lies à la façade des bâtiments</t>
  </si>
  <si>
    <t>2005-04-01</t>
  </si>
  <si>
    <t>tous travaux d'isolation extérieure, bardage, menuiserie, charpente, conseils en bâtiment, achat et vente de tous matériels liés à l'activité.</t>
  </si>
  <si>
    <t>2001-12-26</t>
  </si>
  <si>
    <t>travaux de ravalement des façades isolations par extérieur maçonnerie et plus généralement tout travaux de gros oeuvre et second oeuvre de bâtiment</t>
  </si>
  <si>
    <t>2020-10-22</t>
  </si>
  <si>
    <t>ravalement, entretien, nettoyage, traitement, réparation, assainissement de tous types de façades.</t>
  </si>
  <si>
    <t>2011-09-02</t>
  </si>
  <si>
    <t>2019-05-22</t>
  </si>
  <si>
    <t>maçonnerie générale, ravalement.</t>
  </si>
  <si>
    <t>2021-11-02</t>
  </si>
  <si>
    <t>1998-08-03</t>
  </si>
  <si>
    <t>2022-09-22</t>
  </si>
  <si>
    <t>1995-03-03</t>
  </si>
  <si>
    <t>2006-08-11</t>
  </si>
  <si>
    <t>2020-06-20</t>
  </si>
  <si>
    <t>2006-04-01</t>
  </si>
  <si>
    <t>entreprise de travaux de peinture d'intérieur et d'exterieur, ravalement, isolation thermique des façades, ainsi que rénovation de l'habitat.</t>
  </si>
  <si>
    <t>2021-11-05</t>
  </si>
  <si>
    <t>1997-02-18</t>
  </si>
  <si>
    <t>2015-04-23</t>
  </si>
  <si>
    <t>peinture et ravalement.</t>
  </si>
  <si>
    <t>2015-09-10</t>
  </si>
  <si>
    <t>2002-01-01</t>
  </si>
  <si>
    <t>2014-12-24</t>
  </si>
  <si>
    <t>2022-12-20</t>
  </si>
  <si>
    <t>Ravalement et tous travaux du bâtiment</t>
  </si>
  <si>
    <t>2008-11-20</t>
  </si>
  <si>
    <t>isolation, bardage, étanchéité.</t>
  </si>
  <si>
    <t>2022-02-01</t>
  </si>
  <si>
    <t>ravalement, peinture, ite, enduit, petites maçonneries.</t>
  </si>
  <si>
    <t>2020-01-22</t>
  </si>
  <si>
    <t>bardage étanchéité.</t>
  </si>
  <si>
    <t>2010-01-04</t>
  </si>
  <si>
    <t>bardage, étanchéité et toutes ses activités annexes et sous-traitance sur Chantie, donneur d'ordre.</t>
  </si>
  <si>
    <t>2018-02-16</t>
  </si>
  <si>
    <t>en France et à l'étranger la réalisation directement ou indirectement de toute activité de ravalement et de petite maçonnerie.</t>
  </si>
  <si>
    <t>2008-03-05</t>
  </si>
  <si>
    <t>ravalement, isolation thermique intérieure et extérieur, peinture, plaquettes, rénovation intérieure et extérieure. maçonnerie générale, aménagement, carrelage.</t>
  </si>
  <si>
    <t>2016-03-21</t>
  </si>
  <si>
    <t>la maçonnerie, l'électricité et le ravalement de façades.</t>
  </si>
  <si>
    <t>travaux de ravalement de façades, travaux de peinture et travaux de bâtiment général.</t>
  </si>
  <si>
    <t>2010-12-07</t>
  </si>
  <si>
    <t>Chauffe-Eau Thermodynamique | Isolation des murs par l'extérieur | Isolation par l'intérieur des murs ou rampants de toitures  ou plafonds | Pompe à chaleur : chauffage</t>
  </si>
  <si>
    <t>maçonnerie générale - enduits et ravalement - carrelage - isolation thermique par l'extérieur - peinture. / Maçonnerie enduits ravalement carrelage peinturé</t>
  </si>
  <si>
    <t>2025-04-02</t>
  </si>
  <si>
    <t>2023-09-05</t>
  </si>
  <si>
    <t>2023-04-01</t>
  </si>
  <si>
    <t>pose de façades, alu-vitrées.</t>
  </si>
  <si>
    <t>maçonnerie et ravalement en sous Traitance donneur d'ordre.</t>
  </si>
  <si>
    <t>2011-06-08</t>
  </si>
  <si>
    <t>2005-08-20</t>
  </si>
  <si>
    <t>2026-01-15</t>
  </si>
  <si>
    <t>bardage, maçonnerie, Tce.</t>
  </si>
  <si>
    <t>2019-02-15</t>
  </si>
  <si>
    <t>1991-09-01</t>
  </si>
  <si>
    <t>ravalement de façade en pierre, bardage, ravalement projeté, dallage, marbrerie, petite maçonnerie, peinture extérieure. / ravalement, maçonnerie.</t>
  </si>
  <si>
    <t>1995-04-01</t>
  </si>
  <si>
    <t>travaux de ravalement, peinture, maçonnerie (en sous-Traitance).</t>
  </si>
  <si>
    <t>2013-12-10</t>
  </si>
  <si>
    <t>travaux de peinture, ravalement, rénovation et la sous-traitance. / Travaux de peinture, ravalement, rénovation et la sous-Traitance.</t>
  </si>
  <si>
    <t>2008-01-01</t>
  </si>
  <si>
    <t>2006-12-01</t>
  </si>
  <si>
    <t>Isolation des combles perdus | Isolation des toitures terrasses ou des toitures par l'extérieur | Isolation par l'intérieur des murs ou rampants de toitures  ou plafonds</t>
  </si>
  <si>
    <t>2025-12-03</t>
  </si>
  <si>
    <t>prestations de suivi d'affaires relatives à la construction, la conception et vente de prestations de constructions relatives à l'enveloppe du bâtiment, prestations de services, de conseils dans le secteur du bâtiment.</t>
  </si>
  <si>
    <t>2013-07-01</t>
  </si>
  <si>
    <t>les travaux de rénovations de biens immobiliers extérieurs et intérieurs / la création, l'acquisition , l'exploitation, la vente, la prise ou la dation a bail de tous établissements industriels ou commerciaux se rattachant a cet objet . / travaux de rénovations de biens immobiliers extérieures et intérieures.</t>
  </si>
  <si>
    <t>2010-03-02</t>
  </si>
  <si>
    <t>2000-11-01</t>
  </si>
  <si>
    <t>2007-09-17</t>
  </si>
  <si>
    <t>1957-01-01</t>
  </si>
  <si>
    <t>1979-11-01</t>
  </si>
  <si>
    <t>travaux d'Étanchéification, couverture, bardage, maçonnerie, peinture, revêtement sol et mur.</t>
  </si>
  <si>
    <t>2001-02-01</t>
  </si>
  <si>
    <t>maçonnerie, enduit, ravalement, iso thermique extérieur, revêtement sol intérieur et extérieur. travaux de gros œuvre et de béton armée. et, plus généralement, toutes opérations industrielles, commerciales, financières, mobilières ou immobilières, se rapportant directement ou indirectement à l'objet social ou susceptibles d'en faciliter l'extension ou le développement ainsi que toute nature de dis</t>
  </si>
  <si>
    <t>2007-12-05</t>
  </si>
  <si>
    <t>tous travaux de couverture charpente étanchéité ravalement peinture et en général tous travaux se rattachant au bâtiment.</t>
  </si>
  <si>
    <t>couverture, étanchéité, isolation, bardages, tout corps d'état</t>
  </si>
  <si>
    <t>2020-02-05</t>
  </si>
  <si>
    <t>1998-08-06</t>
  </si>
  <si>
    <t>2002-02-21</t>
  </si>
  <si>
    <t>maçonnerie, isolation thermique, ravalement, agencement, entretien des immeubles et bureaux et nettoyage de fin de chantier.</t>
  </si>
  <si>
    <t>façade ravalement isolation extérieur.</t>
  </si>
  <si>
    <t>ravalement peinture Racord maçonnerie façade isolation thermique.</t>
  </si>
  <si>
    <t>2019-07-16</t>
  </si>
  <si>
    <t>2020-07-20</t>
  </si>
  <si>
    <t>2026-06-09</t>
  </si>
  <si>
    <t>2017-02-13</t>
  </si>
  <si>
    <t>2021-09-01</t>
  </si>
  <si>
    <t>1998-01-05</t>
  </si>
  <si>
    <t>2020-01-06</t>
  </si>
  <si>
    <t>2018-07-05</t>
  </si>
  <si>
    <t>1994-08-16</t>
  </si>
  <si>
    <t>Panneaux solaires photovoltaïques</t>
  </si>
  <si>
    <t>1984-09-01</t>
  </si>
  <si>
    <t>2005-12-08</t>
  </si>
  <si>
    <t>2018-01-16</t>
  </si>
  <si>
    <t>2022-01-26</t>
  </si>
  <si>
    <t>2000-07-01</t>
  </si>
  <si>
    <t>1999-02-01</t>
  </si>
  <si>
    <t>2000-04-01</t>
  </si>
  <si>
    <t>2026-07-07</t>
  </si>
  <si>
    <t>2015-03-09</t>
  </si>
  <si>
    <t>2005-09-21</t>
  </si>
  <si>
    <t>2021-02-01</t>
  </si>
  <si>
    <t>2021-12-31</t>
  </si>
  <si>
    <t>1990-03-01</t>
  </si>
  <si>
    <t>2016-04-01</t>
  </si>
  <si>
    <t>2021-01-20</t>
  </si>
  <si>
    <t>2017-06-05</t>
  </si>
  <si>
    <t>1998-05-15</t>
  </si>
  <si>
    <t>2022-08-01</t>
  </si>
  <si>
    <t>1993-12-23</t>
  </si>
  <si>
    <t>2005-02-14</t>
  </si>
  <si>
    <t>2026-07-08</t>
  </si>
  <si>
    <t>1984-01-02</t>
  </si>
  <si>
    <t>1997-04-04</t>
  </si>
  <si>
    <t>1986-04-21</t>
  </si>
  <si>
    <t>2022-04-01</t>
  </si>
  <si>
    <t>2018-10-17</t>
  </si>
  <si>
    <t>1988-04-01</t>
  </si>
  <si>
    <t>2015-06-22</t>
  </si>
  <si>
    <t>1997-08-01</t>
  </si>
  <si>
    <t>2020-10-23</t>
  </si>
  <si>
    <t>1995-10-01</t>
  </si>
  <si>
    <t>2021-03-13</t>
  </si>
  <si>
    <t>2026-07-09</t>
  </si>
  <si>
    <t>2023-01-01</t>
  </si>
  <si>
    <t>2022-06-13</t>
  </si>
  <si>
    <t>2005-06-29</t>
  </si>
  <si>
    <t>2010-05-11</t>
  </si>
  <si>
    <t>2025-01-23</t>
  </si>
  <si>
    <t>2017-01-01</t>
  </si>
  <si>
    <t>1995-05-02</t>
  </si>
  <si>
    <t>2015-05-01</t>
  </si>
  <si>
    <t>2012-03-14</t>
  </si>
  <si>
    <t>1994-01-01</t>
  </si>
  <si>
    <t>2016-10-24</t>
  </si>
  <si>
    <t>1967-01-01</t>
  </si>
  <si>
    <t>2015-07-09</t>
  </si>
  <si>
    <t>2001-03-01</t>
  </si>
  <si>
    <t>2023-02-08</t>
  </si>
  <si>
    <t>1990-01-05</t>
  </si>
  <si>
    <t>2004-02-10</t>
  </si>
  <si>
    <t>2005-11-02</t>
  </si>
  <si>
    <t>2008-09-24</t>
  </si>
  <si>
    <t>entreprise générale de bâtiment.</t>
  </si>
  <si>
    <t>2014-12-20</t>
  </si>
  <si>
    <t>2021-03-10</t>
  </si>
  <si>
    <t>2021-09-20</t>
  </si>
  <si>
    <t>2016-10-27</t>
  </si>
  <si>
    <t>2017-04-14</t>
  </si>
  <si>
    <t>2000-08-01</t>
  </si>
  <si>
    <t>1985-07-01</t>
  </si>
  <si>
    <t>1986-05-28</t>
  </si>
  <si>
    <t>2023-06-08</t>
  </si>
  <si>
    <t>1996-08-05</t>
  </si>
  <si>
    <t>location, montage, démontage d'échafaudages.</t>
  </si>
  <si>
    <t>2025-05-07</t>
  </si>
  <si>
    <t>travaux de maçonnerie générale et gros oeuvre de bâtiment, travaux d'Étanchéification.</t>
  </si>
  <si>
    <t>2018-09-01</t>
  </si>
  <si>
    <t>1999-07-01</t>
  </si>
  <si>
    <t>2020-09-21</t>
  </si>
  <si>
    <t>2026-01-12</t>
  </si>
  <si>
    <t>2016-10-03</t>
  </si>
  <si>
    <t>1999-01-01</t>
  </si>
  <si>
    <t>1984-08-01</t>
  </si>
  <si>
    <t>2026-02-12</t>
  </si>
  <si>
    <t>Travaux d'amélioration thermique, amélioration de l'habitat, négoce de matériaux d'isolation</t>
  </si>
  <si>
    <t>2026-02-17</t>
  </si>
  <si>
    <t>Enduisage, ravalement, réalisation de façades par projection, talochage et tous travaux de finitions, concourant à la réalisation de façades et surfaçage mural, installation d'échafaudages.</t>
  </si>
  <si>
    <t>2011-09-01</t>
  </si>
  <si>
    <t>activité de zinguerie, gouttière aluminium, couverture de bâtiments, pose de cloisons sèches, tous travaux de fabrication, pose et réparation dans lesdits domaines.</t>
  </si>
  <si>
    <t>2003-03-01</t>
  </si>
  <si>
    <t>Isolation par l'intérieur des murs ou rampants de toitures  ou plafonds</t>
  </si>
  <si>
    <t>2006-10-01</t>
  </si>
  <si>
    <t>pose de plaques de plâtre, peinture, carrelage, revêtement de sol, maçonnerie générale de second oeuvre / Maçonnerie générale.</t>
  </si>
  <si>
    <t>2015-02-18</t>
  </si>
  <si>
    <t>2008-03-03</t>
  </si>
  <si>
    <t>2021-11-12</t>
  </si>
  <si>
    <t>un fonds de commerce de maçonnerie, rénovation et plus généralement d'étude, conception et de réalisation de tous travaux de bâtiment (gros oeuvre, carrelage, taille de pierres, placo, clôture, ravalement, terrassement, isolation par l'extérieur)</t>
  </si>
  <si>
    <t>1982-09-15</t>
  </si>
  <si>
    <t>Travaux de peinture en bâtiment.</t>
  </si>
  <si>
    <t>2019-05-02</t>
  </si>
  <si>
    <t>Isolations.</t>
  </si>
  <si>
    <t>2019-10-03</t>
  </si>
  <si>
    <t>2005-05-19</t>
  </si>
  <si>
    <t>serrurier, bardage et façade tous types de matériaux - menuiserie serrurerie bardage et façade tous types de matériaux / serrurier, bardage et façade tous types de matériaux.</t>
  </si>
  <si>
    <t>2018-08-28</t>
  </si>
  <si>
    <t>bâtiment tous corps d'état.</t>
  </si>
  <si>
    <t>2019-07-01</t>
  </si>
  <si>
    <t>travaux de menuiserie, bois, Pvc, alu, montage de Fermentures de bâtiments, pose de charpente métallique.</t>
  </si>
  <si>
    <t>Enduit extérieur, peinture, nettoyage et traitement, petite maçonnerie, isolation par l'extérieur.</t>
  </si>
  <si>
    <t>gestion financière, commerciale et logistique</t>
  </si>
  <si>
    <t>2019-09-01</t>
  </si>
  <si>
    <t>tant en France qu'à l'étranger : le négoce et la pose sur les sols et sur les murs de tous revêtements en marbre, pierre, carrelages. les études, les prestations de services et la réalisation de tous travaux dans le domaine du bâtiment et des travaux publics.</t>
  </si>
  <si>
    <t>2012-02-15</t>
  </si>
  <si>
    <t>2020-10-06</t>
  </si>
  <si>
    <t>Rénovation intérieure et extérieure, maçonnerie, peinture, plomberie, électricité</t>
  </si>
  <si>
    <t>2018-10-16</t>
  </si>
  <si>
    <t>1998-01-01</t>
  </si>
  <si>
    <t>maçonnerie - peinture - plomberie - electricité</t>
  </si>
  <si>
    <t>2013-01-17</t>
  </si>
  <si>
    <t>Fenêtres, volets, portes donnant sur l'extérieur | Isolation des toitures terrasses ou des toitures par l'extérieur</t>
  </si>
  <si>
    <t>l'activité d'entreprise générale de bâtiment, et tous travaux s'y rapportant directement ou indirectement, toute activité de cloisonnement, menuiserie , isolation, pose de plafonds, la création, l'acquisition, la vente, la prise à bail, la gérance libre, l'installation ou l'exploitation de tous fonds de commerce et toutes opérations annexes ou connexes pouvant se rapporter.</t>
  </si>
  <si>
    <t>1997-07-01</t>
  </si>
  <si>
    <t>2024-12-05</t>
  </si>
  <si>
    <t>travaux de peintures et toutes rénovations intérieur-extérieur</t>
  </si>
  <si>
    <t>2024-06-20</t>
  </si>
  <si>
    <t>2010-02-01</t>
  </si>
  <si>
    <t>1993-11-01</t>
  </si>
  <si>
    <t>serrurerie et menuiserie aluminium et autres métaux, mecanosoudure, exclusivement pour les particuliers et l'industrie</t>
  </si>
  <si>
    <t>1960-01-01</t>
  </si>
  <si>
    <t>Pose de pierres et de tout type de revêtement de sols, murs et facades, réalisation de chapes de tout type.</t>
  </si>
  <si>
    <t>2017-01-17</t>
  </si>
  <si>
    <t>Fenêtres, volets, portes donnant sur l'extérieur</t>
  </si>
  <si>
    <t>Négociation achat commercialisation et pose de menuiserie pvc</t>
  </si>
  <si>
    <t>2017-10-15</t>
  </si>
  <si>
    <t>Chauffe-Eau Thermodynamique | Pompe à chaleur : chauffage</t>
  </si>
  <si>
    <t>2015-10-07</t>
  </si>
  <si>
    <t>2026-03-25</t>
  </si>
  <si>
    <t>Etude, fabrication, pose, installation et négoce de menuiseries, accessoires, clos et couvert, procédés associés de gestion centralisée ; étude, fabrication, pose, installation et négoce de constructions métalliques aluminium ; fabrication, pose d'ouvrages en métallerie et en serrurerie ; fabrication et installation de vérandas ; réalisation d'opérations de maintenance sur tous types d'ouvrages mo</t>
  </si>
  <si>
    <t>2020-04-14</t>
  </si>
  <si>
    <t>fabrication et commercialisation d'éléments pour le bâtiment / fabrication et vente de panneaux de façade "EMAILLERIE ALSACIENNE"</t>
  </si>
  <si>
    <t>2013-12-19</t>
  </si>
  <si>
    <t>2014-02-18</t>
  </si>
  <si>
    <t>l'achat, la vente, la location et mise en place d'échafaudages, la réalisation de travaux de ravalement de façades, crépis, isolation intérieure et extérieure.</t>
  </si>
  <si>
    <t>2020-01-10</t>
  </si>
  <si>
    <t>fabrication de menuiserie aluminium</t>
  </si>
  <si>
    <t>1983-03-01</t>
  </si>
  <si>
    <t>toutes prestations de services en matière commerciale et de gestion, distribution et commercialisation de produits, objets, marchandises pour le compte de tous tiers</t>
  </si>
  <si>
    <t>2020-08-11</t>
  </si>
  <si>
    <t>2010-10-28</t>
  </si>
  <si>
    <t>transaction immobilière, gestion immobilière et syndic de copropriété / agence immobilière, transaction sur appartement et maison, gestion et location</t>
  </si>
  <si>
    <t>2005-04-04</t>
  </si>
  <si>
    <t>2007-07-17</t>
  </si>
  <si>
    <t>Pompes funèbres, marbrerie, vente au détail de fleurs artificielles et naturelles et ornements funéraires. / Pompes funèbres, marbrerie, vente au détail de fleurs Artificilelles et naturelles et ornements funéraires. / pompes funèbres marbrerie vente au détails de fleur artificielles et naturelles et ornement funéraires. / pompes funèbres marbrerie vente au détail de fleur artificielles et naturel</t>
  </si>
  <si>
    <t>conseil et distribution de produits d'économie d'énergie.</t>
  </si>
  <si>
    <t>Fonds de commerce de fabrication et vente de produits de boulangerie, de pâtisserie, de viennoiserie, de traiteur sucré salé, de petite restauration sur place et ou à emporter de confiserie, de boissons chaudes et froides / salon de restauration rapide, snacking, salon de thé, l'achat et la vente de produits alimentaires, d'épicerie fine et de boissons. / Boulangerie-pâtisserie / salon de restaura</t>
  </si>
  <si>
    <t>2018-06-21</t>
  </si>
  <si>
    <t>1997-01-01</t>
  </si>
  <si>
    <t>1991-12-01</t>
  </si>
  <si>
    <t>2025-07-24</t>
  </si>
  <si>
    <t>Vente au dÃ©tail de matÃ©riel de tÃ©lÃ©communication et d'accessoires / Commerce d'achat et vente d'appareils de téléphonie filaires et mobiles et activités liées / Vente de téléphonie mobile.</t>
  </si>
  <si>
    <t>2004-10-11</t>
  </si>
  <si>
    <t>1969-09-09</t>
  </si>
  <si>
    <t>2018-05-24</t>
  </si>
  <si>
    <t>Restauration rapide</t>
  </si>
  <si>
    <t>2012-06-01</t>
  </si>
  <si>
    <t>2005-09-26</t>
  </si>
  <si>
    <t>2019-11-04</t>
  </si>
  <si>
    <t>1986-02-03</t>
  </si>
  <si>
    <t>Station service vente de tous produits pétroliers et assimilés vente de tous articles de bazar vente d'articles alimentaires à emporter restauration rapide sur place ou à emporter tabac / Station service, vente de tous produits pétroliers et assimilés, vente d'articles alimentaires à emporter, vente de tous articles concernant l'automobile, lavage, vente de cartes de lavage, gaz en bouteilles / St</t>
  </si>
  <si>
    <t>En France et dans tous pays étrangers, le commerce de toutes marchandises, produits d'entretien, parfumerie, articles cadeaux, horlogerie, maroquinerie, articles de luxe, d'habillement, articles textiles de toutes sortes, ainsi que toutes activités de loisirs, tourisme, de gestion de patrimoine, mobilier et immobilier</t>
  </si>
  <si>
    <t>2010-11-18</t>
  </si>
  <si>
    <t>1998-10-19</t>
  </si>
  <si>
    <t>achat, vente, négoce de toutes fleurs, graines, plantes, bacs, pots, vases et récipients de toutes sortes, aménagement de parc floral achat vente négoce import export de meubles et objets de brocante la conception et réalisation de décors extérieurs et intérieurs composes aussi bien de plantes que de meubles et plus généralement toute activité se rapportant a l'activité directement ou indirectemen</t>
  </si>
  <si>
    <t>1988-06-15</t>
  </si>
  <si>
    <t>Porfession d'architecte, urbaniste et paysagiste</t>
  </si>
  <si>
    <t>1996-10-15</t>
  </si>
  <si>
    <t>2026-08-17</t>
  </si>
  <si>
    <t>Créations graphiques</t>
  </si>
  <si>
    <t>1992-11-30</t>
  </si>
  <si>
    <t>Bureau d'étude bâtiment, maîtrise d'oeuvre, expertises</t>
  </si>
  <si>
    <t>Réalisation d'études techniques spécialisées dans les domaines du bâtiment et du génie civil notamment : structure, clos, couvert ; fluides, génie climatique, électricité ; acoustique ; voirie réseaux divers, terrassement ; géotechnique ; tous corps d'état ou corps d'état secondaire. Et toutes prestations de services en relation, dont la maîtrise d'oeuvre de conception et de réalisation et assista</t>
  </si>
  <si>
    <t>2016-02-15</t>
  </si>
  <si>
    <t>Distribution, promotion, vente, négociation, transaction de produits de façade et de surface de bâtiment</t>
  </si>
  <si>
    <t>1985-05-01</t>
  </si>
  <si>
    <t>1996-09-24</t>
  </si>
  <si>
    <t>2012-06-19</t>
  </si>
  <si>
    <t>2010-07-07</t>
  </si>
  <si>
    <t>2011-04-08</t>
  </si>
  <si>
    <t>Liquidation clôturée (2010), ancienne activité</t>
  </si>
  <si>
    <t>Liquidation judiciaire (résolution du plan)</t>
  </si>
  <si>
    <t>Redressement judiciaire (issue inconnue, comptes déposés jusqu'en 2026)</t>
  </si>
  <si>
    <t>2017-01-31</t>
  </si>
  <si>
    <t>2010-07-25</t>
  </si>
  <si>
    <t>2017-04-09</t>
  </si>
  <si>
    <t>2026-07-17</t>
  </si>
  <si>
    <t>entrepreneur individuel, enseigne DST PLATRE FACADES : ravalement (annuaire) ; activité reprise en 2014 sous le même SIREN (nouvel établissement, INSEE)</t>
  </si>
  <si>
    <t>2025-12-21</t>
  </si>
  <si>
    <t>2026-05-06</t>
  </si>
  <si>
    <t>2008-02-28</t>
  </si>
  <si>
    <t>Dernier jugement significatif (redressement, sauvegarde, liquidation, plan) pour toutes les entreprises. Les procédures antérieures à 2023 ont été revérifiées manuellement sur le BODACC (5 entreprises : 3 réintégrées aux prospects, 1 passée en liquidation). Les 14 entreprises sous plan ou « autre jugement » ont aussi été revérifiées : 2 étaient passées en liquidation (BIG RAVALEMENT, DS RAVALEMENT).</t>
  </si>
  <si>
    <t>Procédure ouverte en 2025-2026, vérifiée au BODACC le 26/09/2026.</t>
  </si>
  <si>
    <t>Statuts juridiques et procédures collectives relevés au 24/09/2026. Alertes anciennes et plans en cours revérifiés manuellement le 26/09/2026.</t>
  </si>
  <si>
    <t>Part cumulée des 8 premiers codes NAF (tous en division 43)</t>
  </si>
  <si>
    <t>Aucun code ne suffit seul : il en faut 8 pour couvrir 90 % des façadiers, et ces codes sont partagés avec d'autres métiers.</t>
  </si>
  <si>
    <t>Test de précision du code NAF 43.99C (maçonnerie générale)</t>
  </si>
  <si>
    <t>Question : parmi les entreprises classées 43.99C, combien font réellement de la façade ? (voir Limites, ligne 6)</t>
  </si>
  <si>
    <t>Population : 9 056 entreprises actives de 6 à 199 salariés en 43.99C (API Recherche d'entreprises, 26/09/2026), avec ou sans mot-clé dans le nom.</t>
  </si>
  <si>
    <t>N°</t>
  </si>
  <si>
    <t>Verdict</t>
  </si>
  <si>
    <t>336520226</t>
  </si>
  <si>
    <t>ROUX CABRERO ENTREPRISE GENERALE DE BATIMENT</t>
  </si>
  <si>
    <t>ANNONAY (07100)</t>
  </si>
  <si>
    <t>Indice faible (non confirmé)</t>
  </si>
  <si>
    <t>Entreprise générale de bâtiment (groupe FAYAT). Un annuaire évoque projection de façade et ravalement, mais le site de l'entreprise n'en parle pas.</t>
  </si>
  <si>
    <t>https://rouxcabrero.fayat.com/</t>
  </si>
  <si>
    <t>879191005</t>
  </si>
  <si>
    <t>SARL SEBASTIEN QUERO</t>
  </si>
  <si>
    <t>BOQUEHO (22170)</t>
  </si>
  <si>
    <t>412854184</t>
  </si>
  <si>
    <t>A.E.M. CONSTRUCTIONS</t>
  </si>
  <si>
    <t>PLAISIR (78370)</t>
  </si>
  <si>
    <t>533821484</t>
  </si>
  <si>
    <t>BVF 62 (BVF 62)</t>
  </si>
  <si>
    <t>EPERLECQUES (62910)</t>
  </si>
  <si>
    <t>Pas d'activité façade</t>
  </si>
  <si>
    <t>Gros œuvre, plâtrerie-isolation, menuiserie, carrelage. RGE isolation intérieure, combles et fenêtres, pas ITE.</t>
  </si>
  <si>
    <t>https://bvf62.net/</t>
  </si>
  <si>
    <t>316972140</t>
  </si>
  <si>
    <t>CONSTRUIRE EN PROVENCE</t>
  </si>
  <si>
    <t>NYONS (26110)</t>
  </si>
  <si>
    <t>Façade parmi d'autres activités</t>
  </si>
  <si>
    <t>« démolition, fondation, maçonnerie, béton armé, charpente, couverture, ravalement de façade et isolation » (fiche PagesJaunes).</t>
  </si>
  <si>
    <t>https://www.pagesjaunes.fr/pros/05573529</t>
  </si>
  <si>
    <t>750188690</t>
  </si>
  <si>
    <t>SCA33</t>
  </si>
  <si>
    <t>BEYCHAC-ET-CAILLAU (33750)</t>
  </si>
  <si>
    <t>Activité déclarée : maçonnerie, rénovations, démolitions, terrassements, entretien de routes.</t>
  </si>
  <si>
    <t>https://annuaire-entreprises.data.gouv.fr/entreprise/sca33-750188690</t>
  </si>
  <si>
    <t>798439287</t>
  </si>
  <si>
    <t>CAP CONSTRUCTION MEDITERRANEE</t>
  </si>
  <si>
    <t>NICE (06200)</t>
  </si>
  <si>
    <t>Gros œuvre et second œuvre. Liquidation judiciaire le 28/01/2025 (BODACC), alors que le répertoire la donne active.</t>
  </si>
  <si>
    <t>https://annuaire-entreprises.data.gouv.fr/entreprise/798439287</t>
  </si>
  <si>
    <t>828886093</t>
  </si>
  <si>
    <t>N.C.E</t>
  </si>
  <si>
    <t>GEISPOLSHEIM (67118)</t>
  </si>
  <si>
    <t>Maçonnerie gros œuvre ; mentionne « maçonnerie de façade » (pierre, brique), pas de ravalement, enduit ni ITE.</t>
  </si>
  <si>
    <t>https://www.pagesjaunes.fr/pros/58136673</t>
  </si>
  <si>
    <t>402580476</t>
  </si>
  <si>
    <t>SARL BRITO ET FILS</t>
  </si>
  <si>
    <t>VALENCE (26000)</t>
  </si>
  <si>
    <t>Maçonnerie, carrelage, isolation (fiche PagesJaunes). Un annuaire évoque des travaux de façade, sans confirmation. RGE isolation intérieure uniquement.</t>
  </si>
  <si>
    <t>https://www.pagesjaunes.fr/pros/07582631</t>
  </si>
  <si>
    <t>442992905</t>
  </si>
  <si>
    <t>SARL NONQUE ENTREPRISE MARLIEN</t>
  </si>
  <si>
    <t>AISEREY (21110)</t>
  </si>
  <si>
    <t>Qualification RGE « Isolation des murs par l'extérieur » en cours de validité (ADEME), en plus de la maçonnerie.</t>
  </si>
  <si>
    <t>https://www.france-artisan.fr/annuaire-rge/entreprise/44299290500012</t>
  </si>
  <si>
    <t>517394318</t>
  </si>
  <si>
    <t>CORSICA TRAVAUX (CORSICA TRAVAUX)</t>
  </si>
  <si>
    <t>BIGUGLIA (20620)</t>
  </si>
  <si>
    <t>Activité déclarée : maintenance et rénovation tous corps d'état (maçonnerie, peinture, plomberie, électricité…).</t>
  </si>
  <si>
    <t>https://annuaire-entreprises.data.gouv.fr/entreprise/517394318</t>
  </si>
  <si>
    <t>503563025</t>
  </si>
  <si>
    <t>AUDET FILS</t>
  </si>
  <si>
    <t>TARASCON (13150)</t>
  </si>
  <si>
    <t>Maçonnerie générale, restauration de bâtisses. RGE isolation intérieure, combles et fenêtres, pas ITE.</t>
  </si>
  <si>
    <t>https://audet-fils.fr/</t>
  </si>
  <si>
    <t>838572428</t>
  </si>
  <si>
    <t>SOCIETE GENERALE D'ENDUITS PARISIENS SAS (SOGEP SAS)</t>
  </si>
  <si>
    <t>VAUJOURS (93410)</t>
  </si>
  <si>
    <t>Façadier (cœur de métier)</t>
  </si>
  <si>
    <t>Activité déclarée au greffe : « Prestations de façadiers, ravalements, isolation et tous travaux de bâtiment ». Absente de l'étude : son nom contient « enduits », pas « façade ».</t>
  </si>
  <si>
    <t>https://www.pappers.fr/entreprise/sogep-sas-societe-generale-denduits-parisiens-sas-838572428</t>
  </si>
  <si>
    <t>349050187</t>
  </si>
  <si>
    <t>LIMOUZIN</t>
  </si>
  <si>
    <t>MONTAIGU-VENDEE (85600)</t>
  </si>
  <si>
    <t>Activité déclarée : maçonnerie. Un annuaire la classe « maçonnerie, ravaleur », mais ni son site ni les autres fiches n'en parlent.</t>
  </si>
  <si>
    <t>https://www.terresdemontaigu.fr/etablissement/limouzin/</t>
  </si>
  <si>
    <t>425850229</t>
  </si>
  <si>
    <t>SAS BARANZELLI - BRACONNIER</t>
  </si>
  <si>
    <t>GRAY (70100)</t>
  </si>
  <si>
    <t>Gros œuvre : terrassement, fondations, sciage béton, ouvertures de murs.</t>
  </si>
  <si>
    <t>https://www.baranzelli-batiment.fr/</t>
  </si>
  <si>
    <t>402142848</t>
  </si>
  <si>
    <t>D P CONSTRUCTION</t>
  </si>
  <si>
    <t>SAINT-MEMMIE (51470)</t>
  </si>
  <si>
    <t>Activité déclarée : bâtiment, travaux publics, pose de revêtements de sol.</t>
  </si>
  <si>
    <t>https://annuaire-entreprises.data.gouv.fr/entreprise/402142848</t>
  </si>
  <si>
    <t>804676682</t>
  </si>
  <si>
    <t>CO.RE.BAT</t>
  </si>
  <si>
    <t>THUIR (66300)</t>
  </si>
  <si>
    <t>Activité déclarée : maçonnerie, couverture, plâtrerie, carrelage.</t>
  </si>
  <si>
    <t>https://www.co-re-bat.fr/</t>
  </si>
  <si>
    <t>834638892</t>
  </si>
  <si>
    <t>T.K.B.P.P (TKBPP)</t>
  </si>
  <si>
    <t>LABARTHE-SUR-LEZE (31860)</t>
  </si>
  <si>
    <t>Construction neuve, rénovation, extensions, dépendances.</t>
  </si>
  <si>
    <t>https://www.tkbpp.com/</t>
  </si>
  <si>
    <t>844651448</t>
  </si>
  <si>
    <t>AMC DESIGN</t>
  </si>
  <si>
    <t>LA ROQUETTE-SUR-SIAGNE (06550)</t>
  </si>
  <si>
    <t>Maçonnerie générale. Peu d'informations en ligne ; aucune source ne décrit de façade.</t>
  </si>
  <si>
    <t>https://annuaire-entreprises.data.gouv.fr/entreprise/amc-design-844651448</t>
  </si>
  <si>
    <t>350667564</t>
  </si>
  <si>
    <t>ENTREPRISE DE BATIMENT COJEAN (EBC)</t>
  </si>
  <si>
    <t>MERE (78490)</t>
  </si>
  <si>
    <t>Activité déclarée : gros œuvre, maçonnerie, restauration, marchand de biens.</t>
  </si>
  <si>
    <t>https://annuaire-entreprises.data.gouv.fr/entreprise/350667564</t>
  </si>
  <si>
    <t>Résultat</t>
  </si>
  <si>
    <t>Entreprises vérifiées</t>
  </si>
  <si>
    <t>Part avec une preuve d'activité façade (cœur de métier + parmi d'autres activités)</t>
  </si>
  <si>
    <t>Part de façadiers dont c'est le cœur de métier</t>
  </si>
  <si>
    <t>Étendre le test à 43.34Z et 43.29A, et à un échantillon plus grand.</t>
  </si>
  <si>
    <t>« Vêtage », « vêture », « enduit » et « isolation thermique extérieure » n'ont pas été recherchés. Exemple : SOGEP (Société Générale d'Enduits Parisiens), façadier trouvé lors du test de précision NAF, est absent de l'étude.</t>
  </si>
  <si>
    <t>Données au 24/09/2026, mises à jour le 26/09/2026. Sources : API Recherche d'entreprises (État), INSEE, ADEME (RGE), BODACC, recherche web.</t>
  </si>
  <si>
    <t>•  Aucun code NAF ne suffit à cibler les façadiers : le premier (43.99C, maçonnerie) n'en couvre que 34 %, il faut 8 codes pour atteindre 90 %, et ces codes regroupent aussi des maçons, peintres et isolateurs qui ne font pas de façade (dans un test sur 100 entreprises tirées au hasard en 43.99C, seules 26 ont une activité façade, dont 5 en cœur de métier).</t>
  </si>
  <si>
    <t>•  Le nom est un bon filtre, mais il ne suffit pas : 77 à 86 % des entreprises vérifiées dont le nom contient « façade » sont bien des façadiers ; les autres sont menuisiers, étancheurs, échafaudagistes ou plâtriers (en BTP, la « 5e façade » désigne la toiture). Surtout, il rate les façadiers sans ce mot dans leur nom.</t>
  </si>
  <si>
    <t>•  Un ciblage fiable croise plusieurs signaux : qualification RGE « isolation des murs par l'extérieur », site web, activité déclarée au greffe, contrôle web.</t>
  </si>
  <si>
    <t>Surtout des entreprises « bardage » et « ravalement » restées non vérifiées : quota de 200 recherches web de l'outil d'IA atteint (voir Limites 3).</t>
  </si>
  <si>
    <t>Confirmés / (analysées − non vérifiées). Par méthode : RGE 100 % (le label vaut preuve), recherche web 77 %, BODACC 81 %.</t>
  </si>
  <si>
    <t>Catégorie par défaut (confirmés non rangés ailleurs). La spécialité est déduite automatiquement du nom, du NAF et de la preuve : elle est indicative.</t>
  </si>
  <si>
    <t>Périmètre : entreprises actives en France (métropole et DOM), 6 à 199 salariés selon la tranche INSEE, trouvées par la recherche de l'API sur façade, ravalement ou bardage (nom, enseigne ou autres champs : 43 n'ont pas le mot-clé dans leur nom actuel). Lire l'onglet Limites avant toute utilisation des chiffres.</t>
  </si>
  <si>
    <t>Lecture : 8 codes NAF, tous dans la division 43 (travaux de construction spécialisés), regroupent 90 % des façadiers confirmés ; les 15 autres codes n'en comptent que 51 (10 %). Cibler par NAF a donc deux coûts : manquer environ 10 % des façadiers, classés sous des codes atypiques, et inclure les entreprises de ces 8 codes qui ne font pas de façade. Le premier coût est mesuré ici ; le second est estimé par un test sur un échantillon aléatoire (ligne suivante). Les couvreurs-bardeurs (43.91B, 43.99A) sont sous-représentés : beaucoup n'ont pas pu être vérifiés (voir Limites 3).</t>
  </si>
  <si>
    <t>Test de précision : sur 100 entreprises tirées au hasard en 43.99C, 26 ont une activité façade, dont 5 seulement en cœur de métier (voir onglet Test précision NAF). Marge d'erreur d'environ ± 8 points.</t>
  </si>
  <si>
    <t>Tirage : 100 entreprises au hasard, en deux fois (20 puis 80, graines 20260926 et 20260927, reproductibles), toutes vérifiées par un agent IA (Claude). Vérification : même règle que l'onglet Méthodologie (label RGE ADEME, activité déclarée au BODACC, site ou fiche web). Une activité façade trouvée seulement dans un résumé de recherche a été contrôlée sur la page source.</t>
  </si>
  <si>
    <t>Activité déclarée : maçonnerie neuf, terrassement, assainissement, rénovation. Seul un texte générique d'annuaire évoque la restauration de façades en pierre ou brique.</t>
  </si>
  <si>
    <t>https://omizi.com/professionnel/sarl-sebastien-quero</t>
  </si>
  <si>
    <t>Activité déclarée : maçonnerie, charpente, couverture, plâtrerie, isolation (fiche PagesJaunes : maçonnerie).</t>
  </si>
  <si>
    <t>https://www.pagesjaunes.fr/pros/07437598</t>
  </si>
  <si>
    <t>511531386</t>
  </si>
  <si>
    <t>M &amp; E</t>
  </si>
  <si>
    <t>LAGORD (17140)</t>
  </si>
  <si>
    <t>Activité déclarée au greffe : « Maçonnerie, enduit de façade ».</t>
  </si>
  <si>
    <t>https://www.bodacc.fr/ (SIREN 511531386)</t>
  </si>
  <si>
    <t>904240991</t>
  </si>
  <si>
    <t>TFTP</t>
  </si>
  <si>
    <t>MARSEILLE (13008)</t>
  </si>
  <si>
    <t>Aucune source ne décrit d'activité façade.</t>
  </si>
  <si>
    <t>https://annuaire-entreprises.data.gouv.fr/entreprise/904240991</t>
  </si>
  <si>
    <t>309022176</t>
  </si>
  <si>
    <t>LE ROUX CONSTRUCTIONS</t>
  </si>
  <si>
    <t>MOREAC (56500)</t>
  </si>
  <si>
    <t>Maçonnerie générale et gros œuvre ; aucune mention de façade.</t>
  </si>
  <si>
    <t>https://www.pagesjaunes.fr/pros/00258469</t>
  </si>
  <si>
    <t>793046772</t>
  </si>
  <si>
    <t>ATOUTS TRAVAUX HABITAT</t>
  </si>
  <si>
    <t>LA CRECHE (79260)</t>
  </si>
  <si>
    <t>Entreprise générale tous corps d'état ; le site cite seulement « façade » dans une liste d'extérieurs, sans ravalement ni enduit.</t>
  </si>
  <si>
    <t>https://www.atoutstravauxhabitat.fr/</t>
  </si>
  <si>
    <t>394977169</t>
  </si>
  <si>
    <t>SARL STRUCTURE BATIMENT</t>
  </si>
  <si>
    <t>RONCHIN (59790)</t>
  </si>
  <si>
    <t>Maçonnerie, chapes, gros œuvre ; RGE sans isolation par l'extérieur.</t>
  </si>
  <si>
    <t>https://www.pagesjaunes.fr/pros/07134469</t>
  </si>
  <si>
    <t>415091438</t>
  </si>
  <si>
    <t>B.T.N.R</t>
  </si>
  <si>
    <t>BRANDERION (56700)</t>
  </si>
  <si>
    <t>Maçonnerie générale ; aucune source ne décrit de façade.</t>
  </si>
  <si>
    <t>https://www.pagesjaunes.fr/pros/08032591</t>
  </si>
  <si>
    <t>900407586</t>
  </si>
  <si>
    <t>DRN CONSTRUCTION</t>
  </si>
  <si>
    <t>MONTREUIL (93100)</t>
  </si>
  <si>
    <t>Maçonnerie, gros œuvre, béton armé, réhabilitation ; pas de mention de façade.</t>
  </si>
  <si>
    <t>https://www.societe.com/societe/drn-construction-900407586.html</t>
  </si>
  <si>
    <t>402817472</t>
  </si>
  <si>
    <t>CERBAT</t>
  </si>
  <si>
    <t>MONTEVRAIN (77144)</t>
  </si>
  <si>
    <t>Maçonnerie et étanchéité (toitures, terrasses, façades) : étanchéité de façade, pas de ravalement attesté.</t>
  </si>
  <si>
    <t>https://fr.kompass.com/c/cerbat/fr2276022/</t>
  </si>
  <si>
    <t>442951000</t>
  </si>
  <si>
    <t>SOCIETE RESEAUX VOIRIES (SRV)</t>
  </si>
  <si>
    <t>CONTES (06390)</t>
  </si>
  <si>
    <t>Tous corps d'état et travaux publics ; seul un texte générique d'annuaire évoque la restauration de façades. En liquidation.</t>
  </si>
  <si>
    <t>https://omizi.com/professionnel/societe-reseaux-voiries</t>
  </si>
  <si>
    <t>377558051</t>
  </si>
  <si>
    <t>EDIFI SARL</t>
  </si>
  <si>
    <t>HALLENNES-LEZ-HAUBOURDIN (59320)</t>
  </si>
  <si>
    <t>Qualification RGE « Isolation des murs par l'extérieur » en cours de validité (ADEME), en plus de la maçonnerie. Activité déclarée : maçonnerie, carrelage, façade.</t>
  </si>
  <si>
    <t>https://annuaire-entreprises.data.gouv.fr/entreprise/377558051</t>
  </si>
  <si>
    <t>339959660</t>
  </si>
  <si>
    <t>GREPI</t>
  </si>
  <si>
    <t>BUSSY-SAINT-GEORGES (77600)</t>
  </si>
  <si>
    <t>Sols industriels, béton décoratif et résines ; la mention de « façades décoratives » vient d'un texte générique d'annuaire.</t>
  </si>
  <si>
    <t>https://www.pagesjaunes.fr/pros/06814716</t>
  </si>
  <si>
    <t>394306013</t>
  </si>
  <si>
    <t>ENTREPRISE DE MACONNERIE ROBINEAU</t>
  </si>
  <si>
    <t>MONTREVAULT-SUR-EVRE (49110)</t>
  </si>
  <si>
    <t>Maçonnerie et « ravalement de façade » (pierre naturelle, tuffeau) sur le site de l'entreprise.</t>
  </si>
  <si>
    <t>https://www.robineau-maconnerie.com/</t>
  </si>
  <si>
    <t>402638878</t>
  </si>
  <si>
    <t>PIPAUD</t>
  </si>
  <si>
    <t>SAINT-HILAIRE-DE-CHALEONS (44680)</t>
  </si>
  <si>
    <t>Terrassement, maçonnerie, couverture ; le site propose des « enduits extérieurs traditionnels à la chaux ».</t>
  </si>
  <si>
    <t>https://sas-pipaud.com/</t>
  </si>
  <si>
    <t>821791456</t>
  </si>
  <si>
    <t>EURL REVIMURSOL</t>
  </si>
  <si>
    <t>TRIE-SUR-BAISE (65220)</t>
  </si>
  <si>
    <t>Maçonnerie, carrelage, chapes, plaques de plâtre.</t>
  </si>
  <si>
    <t>https://revimursol.fr/</t>
  </si>
  <si>
    <t>920597184</t>
  </si>
  <si>
    <t>LEBON BATIMENT</t>
  </si>
  <si>
    <t>CALAIS (62100)</t>
  </si>
  <si>
    <t>Entreprise tous corps d'état ; le bardage apparaît dans une liste d'annuaire, sans confirmation.</t>
  </si>
  <si>
    <t>https://www.pagesjaunes.fr/pros/62297927</t>
  </si>
  <si>
    <t>880132634</t>
  </si>
  <si>
    <t>ERG BAT</t>
  </si>
  <si>
    <t>SAVIGNY-LE-TEMPLE (77176)</t>
  </si>
  <si>
    <t>Un annuaire décrit des travaux de façade (enduits, parements, bardage), mais la page n'a pas pu être consultée.</t>
  </si>
  <si>
    <t>https://www.trustup.fr/fr/entreprise/erg-bat</t>
  </si>
  <si>
    <t>317856045</t>
  </si>
  <si>
    <t>ESBE SOCIETE</t>
  </si>
  <si>
    <t>SANSSAC-L EGLISE (43320)</t>
  </si>
  <si>
    <t>Entreprise familiale spécialisée depuis 1980 dans les enduits de façade et l'isolation par l'extérieur (ravalement, joints de pierre, sablage), qualifiée RGE ; classée « Ravalement de façades » par deux annuaires.</t>
  </si>
  <si>
    <t>https://www.dollmedia-btp.com/societe/565128/esbe-ravalement-enduit-de-facades-en-haute-loire-au-puy-en-velay</t>
  </si>
  <si>
    <t>445244130</t>
  </si>
  <si>
    <t>CARNIER RENOVATION (CARNIER RENOVATION)</t>
  </si>
  <si>
    <t>EGUILLES (13510)</t>
  </si>
  <si>
    <t>Rénovation ; aucune source précise ne décrit d'activité façade.</t>
  </si>
  <si>
    <t>https://annuaire-entreprises.data.gouv.fr/entreprise/445244130</t>
  </si>
  <si>
    <t>323934109</t>
  </si>
  <si>
    <t>TRADI ART CONSTRUCTION (BATIR CONSTRUCTION)</t>
  </si>
  <si>
    <t>FLEURY-MEROGIS (91700)</t>
  </si>
  <si>
    <t>Gros œuvre tous corps d'état, logement social ; pas de mention de façade.</t>
  </si>
  <si>
    <t>https://annuaire-entreprises.data.gouv.fr/entreprise/323934109</t>
  </si>
  <si>
    <t>909698425</t>
  </si>
  <si>
    <t>ED CONSTRUCTION</t>
  </si>
  <si>
    <t>VITROLLES (13127)</t>
  </si>
  <si>
    <t>Le site liste « Ravalement de façade », « Nettoyage de toiture et façade », « Enduit machine ou à la main ».</t>
  </si>
  <si>
    <t>https://ed-construction.fr/nos-services/</t>
  </si>
  <si>
    <t>437536600</t>
  </si>
  <si>
    <t>MCBAT</t>
  </si>
  <si>
    <t>LA ROCHE-SUR-YON (85000)</t>
  </si>
  <si>
    <t>Maçonnerie, menuiseries, isolation (murs, toitures) ; pas de façade.</t>
  </si>
  <si>
    <t>https://www.mcbat-maconnerie.fr/</t>
  </si>
  <si>
    <t>380904342</t>
  </si>
  <si>
    <t>DELTA T P SERVICES</t>
  </si>
  <si>
    <t>LA RAVOIRE (73490)</t>
  </si>
  <si>
    <t>Signalisation routière et travaux publics.</t>
  </si>
  <si>
    <t>https://www.pagesjaunes.fr/pros/05888600</t>
  </si>
  <si>
    <t>825270952</t>
  </si>
  <si>
    <t>CONCRETE CONSTRUCTION</t>
  </si>
  <si>
    <t>ROSNY-SOUS-BOIS (93110)</t>
  </si>
  <si>
    <t>Maçonnerie et gros œuvre ; aucune mention de façade.</t>
  </si>
  <si>
    <t>https://www.verif.com/societe/CONCRETE-CONSTRUCTION-825270952/</t>
  </si>
  <si>
    <t>800927642</t>
  </si>
  <si>
    <t>QUEIROZ (QUEIROZ)</t>
  </si>
  <si>
    <t>LUCENAY (69480)</t>
  </si>
  <si>
    <t>Maçonnerie générale ; aucune mention de façade.</t>
  </si>
  <si>
    <t>https://annuaire-entreprises.data.gouv.fr/entreprise/800927642</t>
  </si>
  <si>
    <t>878923473</t>
  </si>
  <si>
    <t>NORD HYDRO</t>
  </si>
  <si>
    <t>ANHIERS (59194)</t>
  </si>
  <si>
    <t>Maçonnerie et couverture ; le site liste « Ravalement de façades ».</t>
  </si>
  <si>
    <t>https://www.nordhydro.fr/</t>
  </si>
  <si>
    <t>393672134</t>
  </si>
  <si>
    <t>ENTREPRISE CRETTAZ FREDERIC</t>
  </si>
  <si>
    <t>ESMANS (77940)</t>
  </si>
  <si>
    <t>Entreprise générale du bâtiment ; un résumé évoque la restauration de façades, non confirmée par la source.</t>
  </si>
  <si>
    <t>https://www.esmans.fr/entreprise/entreprise-crettaz/</t>
  </si>
  <si>
    <t>803385855</t>
  </si>
  <si>
    <t>FORNALIK SERVICES (CONSTRUCTIONS FORNALIK)</t>
  </si>
  <si>
    <t>ROUVROY (62320)</t>
  </si>
  <si>
    <t>Extensions et rénovation ; le site évoque la modernisation des extérieurs, « façades » comprises, sans détail.</t>
  </si>
  <si>
    <t>https://www.fornalik-services.fr/</t>
  </si>
  <si>
    <t>449303718</t>
  </si>
  <si>
    <t>MACONNERIE JOMARD</t>
  </si>
  <si>
    <t>SAINT-NIZIER-D'AZERGUES (69870)</t>
  </si>
  <si>
    <t>Activité déclarée au greffe : maçonnerie, béton armé, terrassements, ravalement.</t>
  </si>
  <si>
    <t>https://www.bodacc.fr/ (SIREN 449303718)</t>
  </si>
  <si>
    <t>790608574</t>
  </si>
  <si>
    <t>CETIN BATIMENT</t>
  </si>
  <si>
    <t>PERPIGNAN (66000)</t>
  </si>
  <si>
    <t>Construction de maisons ; aucune mention de façade.</t>
  </si>
  <si>
    <t>https://www.pagesjaunes.fr/pros/61467669</t>
  </si>
  <si>
    <t>540009586</t>
  </si>
  <si>
    <t>BAUMEO TRAVAUX (BAUMEO TRAVAUX)</t>
  </si>
  <si>
    <t>PEYMEINADE (06530)</t>
  </si>
  <si>
    <t>Assainissement et maçonnerie ; seul un texte générique d'annuaire évoque des façades décoratives.</t>
  </si>
  <si>
    <t>https://www.pagesjaunes.fr/pros/53722836</t>
  </si>
  <si>
    <t>528787989</t>
  </si>
  <si>
    <t>ALLIANCE ECOCONSTRUCTION</t>
  </si>
  <si>
    <t>DECINES-CHARPIEU (69150)</t>
  </si>
  <si>
    <t>https://annuaire-entreprises.data.gouv.fr/entreprise/528787989</t>
  </si>
  <si>
    <t>751955279</t>
  </si>
  <si>
    <t>BRUNA GARINO ROBERT (B.G.R.)</t>
  </si>
  <si>
    <t>MOUGINS (06250)</t>
  </si>
  <si>
    <t>Activité déclarée : plomberie, sanitaire, chauffage.</t>
  </si>
  <si>
    <t>https://www.bodacc.fr/ (SIREN 751955279)</t>
  </si>
  <si>
    <t>404159691</t>
  </si>
  <si>
    <t>OFFICE DE SERVICES EN BATIMENT (OSB)</t>
  </si>
  <si>
    <t>PARIS (75017)</t>
  </si>
  <si>
    <t>https://annuaire-entreprises.data.gouv.fr/entreprise/404159691</t>
  </si>
  <si>
    <t>899471403</t>
  </si>
  <si>
    <t>PERIGNY CONSTRUCTIONS</t>
  </si>
  <si>
    <t>SAINT-BENOIT (97437)</t>
  </si>
  <si>
    <t>Construction en béton armé (La Réunion) ; pas de façade.</t>
  </si>
  <si>
    <t>https://perignyconstructions.re/</t>
  </si>
  <si>
    <t>403165384</t>
  </si>
  <si>
    <t>SCOP COUSERANS CONSTRUCTION</t>
  </si>
  <si>
    <t>LORP-SENTARAILLE (09190)</t>
  </si>
  <si>
    <t>Construction et rénovation ; un résumé cite l'isolation extérieure, absente du site de l'entreprise.</t>
  </si>
  <si>
    <t>https://couseransconstruction.fr/</t>
  </si>
  <si>
    <t>953951357</t>
  </si>
  <si>
    <t>ANNEQUIN MACONNERIE ET PATRIMOINE</t>
  </si>
  <si>
    <t>SAINT-BLAISE-DU-BUIS (38140)</t>
  </si>
  <si>
    <t>Restauration de monuments historiques et taille de pierre ; enduits à la chaux cités pour l'entreprise d'origine.</t>
  </si>
  <si>
    <t>https://www.annequin-patrimoine.fr/</t>
  </si>
  <si>
    <t>797800067</t>
  </si>
  <si>
    <t>G.D.O BATIMENT</t>
  </si>
  <si>
    <t>CARNOUX-EN-PROVENCE (13470)</t>
  </si>
  <si>
    <t>Maçonnerie générale et gros œuvre.</t>
  </si>
  <si>
    <t>https://www.gdo-batiment-13.fr/</t>
  </si>
  <si>
    <t>890247794</t>
  </si>
  <si>
    <t>CREATIF-PROJET</t>
  </si>
  <si>
    <t>PARIS (75013)</t>
  </si>
  <si>
    <t>Rénovation tous corps d'état intérieure ; pas de façade.</t>
  </si>
  <si>
    <t>https://creatif-projet.fr/</t>
  </si>
  <si>
    <t>318023330</t>
  </si>
  <si>
    <t>ENTREPRISE POTEL-ORAIN</t>
  </si>
  <si>
    <t>SURY-LE-COMTAL (42450)</t>
  </si>
  <si>
    <t>Maçonnerie et « rénovation de façade » : restauration de façades en pierre, enduits extérieurs, parements (page dédiée du site).</t>
  </si>
  <si>
    <t>https://potelorain.fr/services-potel-orain/facades/</t>
  </si>
  <si>
    <t>Entreprise individuelle (nom non affiché)</t>
  </si>
  <si>
    <t>ETAUX (74800)</t>
  </si>
  <si>
    <t>Maçonnerie, isolation, cloisons, peinture, carrelage.</t>
  </si>
  <si>
    <t>387649122</t>
  </si>
  <si>
    <t>ARTISANS PLUS</t>
  </si>
  <si>
    <t>NEVERS (58000)</t>
  </si>
  <si>
    <t>Entreprise tous corps d'état ; la fiche PagesJaunes liste « Ravalement de façades ».</t>
  </si>
  <si>
    <t>https://www.pagesjaunes.fr/pros/06087928</t>
  </si>
  <si>
    <t>904541612</t>
  </si>
  <si>
    <t>DESIGN HABITAT CONCEPT</t>
  </si>
  <si>
    <t>CAMBRAI (59400)</t>
  </si>
  <si>
    <t>Gros œuvre, second œuvre, rénovation intérieure ; pas de façade.</t>
  </si>
  <si>
    <t>https://www.designhabitatconcept.fr/</t>
  </si>
  <si>
    <t>818008047</t>
  </si>
  <si>
    <t>ECOTREN</t>
  </si>
  <si>
    <t>LEVIGNEN (60800)</t>
  </si>
  <si>
    <t>Maçonnerie, portes et portails.</t>
  </si>
  <si>
    <t>https://www.pagesjaunes.fr/pros/59986725</t>
  </si>
  <si>
    <t>590801247</t>
  </si>
  <si>
    <t>SOCIETE AQUITAINE DU BATIMENT (SAB)</t>
  </si>
  <si>
    <t>LAUNAGUET (31140)</t>
  </si>
  <si>
    <t>Gros œuvre de logements collectifs.</t>
  </si>
  <si>
    <t>https://annuaire-entreprises.data.gouv.fr/entreprise/590801247</t>
  </si>
  <si>
    <t>533815304</t>
  </si>
  <si>
    <t>EROL CONSTRUCTION</t>
  </si>
  <si>
    <t>AUBENAS (07200)</t>
  </si>
  <si>
    <t>Le site liste « Ravalement de façades : nettoyage, réparation et finition des murs extérieurs ».</t>
  </si>
  <si>
    <t>https://construction-maisonardeche.fr/construction-de-maison-individuelle-renovations/</t>
  </si>
  <si>
    <t>382395523</t>
  </si>
  <si>
    <t>SOCIETE DE CONSTRUCTIONS ET D'ELECTRICITE DU NORD EST</t>
  </si>
  <si>
    <t>SAINTE-SUZANNE (97441)</t>
  </si>
  <si>
    <t>Tous corps d'état (La Réunion) ; pas de façade.</t>
  </si>
  <si>
    <t>https://annuaire-entreprises.data.gouv.fr/entreprise/382395523</t>
  </si>
  <si>
    <t>MALATAVERNE (26780)</t>
  </si>
  <si>
    <t>Activité déclarée : « tous travaux de ravalement, enduits, peinture et rénovation de façades ». Déjà dans l'étude (confirmée, en plan de cession).</t>
  </si>
  <si>
    <t>https://www.bodacc.fr/ (SIREN 492274543)</t>
  </si>
  <si>
    <t>524239605</t>
  </si>
  <si>
    <t>SOCIETE NOUVELLE OMEGA BATIMENT</t>
  </si>
  <si>
    <t>AILLAS (33124)</t>
  </si>
  <si>
    <t>Construction neuve et rénovation ; pas de façade.</t>
  </si>
  <si>
    <t>https://annuaire-entreprises.data.gouv.fr/entreprise/524239605</t>
  </si>
  <si>
    <t>522914621</t>
  </si>
  <si>
    <t>MATHIEU HENRY</t>
  </si>
  <si>
    <t>SAINTE-MARIE-DE-RE (17740)</t>
  </si>
  <si>
    <t>Couverture traditionnelle et maçonnerie.</t>
  </si>
  <si>
    <t>https://www.sarlmathieuhenry.com/</t>
  </si>
  <si>
    <t>SAINT-ETIENNE-DE-BAIGORRY (64430)</t>
  </si>
  <si>
    <t>883044059</t>
  </si>
  <si>
    <t>BDN (CONSTRUCTIONS CLEC'H)</t>
  </si>
  <si>
    <t>PLEUMEUR-BODOU (22560)</t>
  </si>
  <si>
    <t>Maçonnerie du patrimoine ; un résumé cite la restauration de façades, page source inaccessible.</t>
  </si>
  <si>
    <t>https://artisansdupatrimoine.fr/constructions-clech-sarl-s-5099.html</t>
  </si>
  <si>
    <t>328163423</t>
  </si>
  <si>
    <t>CLOTURES BATAILLE</t>
  </si>
  <si>
    <t>PONT-AUDEMER (27500)</t>
  </si>
  <si>
    <t>Clôtures et portails.</t>
  </si>
  <si>
    <t>https://www.clotures-bataille.fr/</t>
  </si>
  <si>
    <t>810102509</t>
  </si>
  <si>
    <t>BATIMENT FABIEN MARQUAND CONSTRUCTION (BFM CONSTRUCTION)</t>
  </si>
  <si>
    <t>BUSIGNY (59137)</t>
  </si>
  <si>
    <t>https://annuaire-entreprises.data.gouv.fr/entreprise/810102509</t>
  </si>
  <si>
    <t>423723477</t>
  </si>
  <si>
    <t>SARL GASTAUD</t>
  </si>
  <si>
    <t>SAINT-ANDRE-DE-LA-ROCHE (06730)</t>
  </si>
  <si>
    <t>Maçonnerie, extensions, joints de pierre ; pas de façade.</t>
  </si>
  <si>
    <t>https://www.pagesjaunes.fr/pros/08338822</t>
  </si>
  <si>
    <t>978905677</t>
  </si>
  <si>
    <t>GIORDANO BY LAFET GROUP</t>
  </si>
  <si>
    <t>SAINTE-MAXIME (83120)</t>
  </si>
  <si>
    <t>Activité déclarée : maçonnerie, peinture, plâtrerie.</t>
  </si>
  <si>
    <t>https://annuaire-entreprises.data.gouv.fr/entreprise/978905677</t>
  </si>
  <si>
    <t>532170644</t>
  </si>
  <si>
    <t>NETO BATIMENT (NETO BATIMENT)</t>
  </si>
  <si>
    <t>ROMORANTIN-LANTHENAY (41200)</t>
  </si>
  <si>
    <t>Une page « Ravalement » est indexée, mais l'ancien site est hors ligne et le site actuel n'en parle pas.</t>
  </si>
  <si>
    <t>https://www.netobatiment41.com/</t>
  </si>
  <si>
    <t>350322376</t>
  </si>
  <si>
    <t>SAS JOUVHOMME</t>
  </si>
  <si>
    <t>FELINES (43160)</t>
  </si>
  <si>
    <t>Maçonnerie et charpente ; seul un texte générique d'annuaire évoque le rejointoiement de façades.</t>
  </si>
  <si>
    <t>https://omizi.com/professionnel/sas-jouvhomme</t>
  </si>
  <si>
    <t>395235377</t>
  </si>
  <si>
    <t>ENTREPRISE PIZZI SARL</t>
  </si>
  <si>
    <t>BOUXIERES-AUX-DAMES (54136)</t>
  </si>
  <si>
    <t>https://annuaire-entreprises.data.gouv.fr/entreprise/395235377</t>
  </si>
  <si>
    <t>439351719</t>
  </si>
  <si>
    <t>SOCIETE OUEST RENOVATION (SOR)</t>
  </si>
  <si>
    <t>VIGNOC (35630)</t>
  </si>
  <si>
    <t>Maçonnerie ; seulement listée dans un annuaire de façadiers, sans description.</t>
  </si>
  <si>
    <t>https://www.ravalement-de-facade.com/entreprise_localisation/toutes-les-regions/bretagne/ille-et-vilaine/page/1/</t>
  </si>
  <si>
    <t>798666020</t>
  </si>
  <si>
    <t>DE LAPIERRE CLOTURES (DLC)</t>
  </si>
  <si>
    <t>EPOUVILLE (76133)</t>
  </si>
  <si>
    <t>Clôtures et portails industriels.</t>
  </si>
  <si>
    <t>https://www.pagesjaunes.fr/pros/55163253</t>
  </si>
  <si>
    <t>887860229</t>
  </si>
  <si>
    <t>BATISMA</t>
  </si>
  <si>
    <t>FRONTIGNAN (34110)</t>
  </si>
  <si>
    <t>https://annuaire-entreprises.data.gouv.fr/entreprise/887860229</t>
  </si>
  <si>
    <t>530264399</t>
  </si>
  <si>
    <t>LAUZIERE GROS OEUVRE - LGO (LGO)</t>
  </si>
  <si>
    <t>LA CHAMBRE (73130)</t>
  </si>
  <si>
    <t>https://annuaire-entreprises.data.gouv.fr/entreprise/530264399</t>
  </si>
  <si>
    <t>830374609</t>
  </si>
  <si>
    <t>SN TPE</t>
  </si>
  <si>
    <t>SAINT-DOULCHARD (18230)</t>
  </si>
  <si>
    <t>Activité déclarée : « réalisation de tous types d'enduits, traitements, revêtements sur façade ».</t>
  </si>
  <si>
    <t>https://www.bodacc.fr/ (SIREN 830374609)</t>
  </si>
  <si>
    <t>848752739</t>
  </si>
  <si>
    <t>SOCIETE CUSTODIO (SOCIETE CUSTODIO)</t>
  </si>
  <si>
    <t>USSY-SUR-MARNE (77260)</t>
  </si>
  <si>
    <t>https://annuaire-entreprises.data.gouv.fr/entreprise/848752739</t>
  </si>
  <si>
    <t>442919585</t>
  </si>
  <si>
    <t>ENTREPRISE DE CONSTRUCTION BAROCHOISE</t>
  </si>
  <si>
    <t>BENNWIHR (68126)</t>
  </si>
  <si>
    <t>Maçonnerie ; seul un texte générique d'annuaire évoque des façades décoratives.</t>
  </si>
  <si>
    <t>https://annuaire-entreprises.data.gouv.fr/entreprise/442919585</t>
  </si>
  <si>
    <t>523825164</t>
  </si>
  <si>
    <t>3R BATIMENT</t>
  </si>
  <si>
    <t>AIX-EN-PROVENCE (13090)</t>
  </si>
  <si>
    <t>https://annuaire-entreprises.data.gouv.fr/entreprise/523825164</t>
  </si>
  <si>
    <t>827646365</t>
  </si>
  <si>
    <t>S.G CONSTRUCTIONS</t>
  </si>
  <si>
    <t>NAVEIL (41100)</t>
  </si>
  <si>
    <t>Maçonnerie, dallages, extensions. En liquidation (2025).</t>
  </si>
  <si>
    <t>https://www.pagesjaunes.fr/pros/56985095</t>
  </si>
  <si>
    <t>825342892</t>
  </si>
  <si>
    <t>CMB</t>
  </si>
  <si>
    <t>MOISSY-CRAMAYEL (77550)</t>
  </si>
  <si>
    <t>Activité déclarée : maçonnerie générale, gros œuvre, second œuvre, ravalement.</t>
  </si>
  <si>
    <t>https://www.bodacc.fr/ (SIREN 825342892)</t>
  </si>
  <si>
    <t>850024985</t>
  </si>
  <si>
    <t>VTB</t>
  </si>
  <si>
    <t>VILLIERS-LE-BEL (95400)</t>
  </si>
  <si>
    <t>Maçonnerie et terrassement.</t>
  </si>
  <si>
    <t>https://annuaire-entreprises.data.gouv.fr/entreprise/850024985</t>
  </si>
  <si>
    <t>389523358</t>
  </si>
  <si>
    <t>PAULQUI EGM</t>
  </si>
  <si>
    <t>SARTENE (20100)</t>
  </si>
  <si>
    <t>Maçonnerie générale. En liquidation (2025).</t>
  </si>
  <si>
    <t>https://annuaire-entreprises.data.gouv.fr/entreprise/389523358</t>
  </si>
  <si>
    <t>436180087</t>
  </si>
  <si>
    <t>ENTREPRISE INVERNIZZI FRERES</t>
  </si>
  <si>
    <t>CHATUZANGE-LE-GOUBET (26300)</t>
  </si>
  <si>
    <t>https://annuaire-entreprises.data.gouv.fr/entreprise/436180087</t>
  </si>
  <si>
    <t>809331929</t>
  </si>
  <si>
    <t>D.G BAT</t>
  </si>
  <si>
    <t>RUEIL-MALMAISON (92500)</t>
  </si>
  <si>
    <t>Activité déclarée : maçonnerie, plomberie, électricité, peinture.</t>
  </si>
  <si>
    <t>https://annuaire-entreprises.data.gouv.fr/entreprise/809331929</t>
  </si>
  <si>
    <t>347912735</t>
  </si>
  <si>
    <t>JCB MERIEAU</t>
  </si>
  <si>
    <t>COEX (85220)</t>
  </si>
  <si>
    <t>Le site propose « maçonnerie, couverture et enduits ».</t>
  </si>
  <si>
    <t>https://www.jcb-merieau.com/</t>
  </si>
  <si>
    <t>531349512</t>
  </si>
  <si>
    <t>FAC'OUEST</t>
  </si>
  <si>
    <t>QUINCAMPOIX (76230)</t>
  </si>
  <si>
    <t>Activité déclarée : « toutes opérations se rapportant aux façades de bâtiments, ravalement… » et qualification RGE isolation par l'extérieur.</t>
  </si>
  <si>
    <t>https://www.bodacc.fr/ (SIREN 531349512)</t>
  </si>
  <si>
    <t>498377290</t>
  </si>
  <si>
    <t>ENTREPRISE SAUTEL</t>
  </si>
  <si>
    <t>ROANNE (42300)</t>
  </si>
  <si>
    <t>Gros œuvre et béton armé.</t>
  </si>
  <si>
    <t>https://www.entreprise-sautel.com/</t>
  </si>
  <si>
    <t>804613156</t>
  </si>
  <si>
    <t>ABMC</t>
  </si>
  <si>
    <t>SAINT-MARTIN-DES-TILLEULS (85130)</t>
  </si>
  <si>
    <t>Le site liste « maisons neuves, rénovations, toitures, enduits, murs de clôture ».</t>
  </si>
  <si>
    <t>https://www.abmc-maconnerie.com/</t>
  </si>
  <si>
    <t>410875264</t>
  </si>
  <si>
    <t>SIBILLE BATIMENT SARL (SIBILLE BATIMENT SARL)</t>
  </si>
  <si>
    <t>FRANCALTROFF (57670)</t>
  </si>
  <si>
    <t>Construction de maisons, gros œuvre.</t>
  </si>
  <si>
    <t>https://annuaire-entreprises.data.gouv.fr/entreprise/410875264</t>
  </si>
  <si>
    <t>399167063</t>
  </si>
  <si>
    <t>COMPAGNIE GENERALE DE SYNTHESE (CGS)</t>
  </si>
  <si>
    <t>Revêtements de sols en résine.</t>
  </si>
  <si>
    <t>https://www.cgs78.com/a-propos</t>
  </si>
  <si>
    <t>819205733</t>
  </si>
  <si>
    <t>CO&amp;MO (CO&amp;MO)</t>
  </si>
  <si>
    <t>NOISY-LE-SEC (93130)</t>
  </si>
  <si>
    <t>Maçonnerie, démolition, rénovation ; pas de façade.</t>
  </si>
  <si>
    <t>https://annuaire-entreprises.data.gouv.fr/entreprise/819205733</t>
  </si>
  <si>
    <t>316806223</t>
  </si>
  <si>
    <t>BENAND ET CIE</t>
  </si>
  <si>
    <t>LA CHAPELLE-D'ABONDANCE (74360)</t>
  </si>
  <si>
    <t>Maçonnerie, génie civil, terrassement.</t>
  </si>
  <si>
    <t>https://benand.com/terrassement-enrochement/</t>
  </si>
  <si>
    <t>Lecture : 26 entreprises sur 100 ont une activité façade prouvée ; la vraie proportion se situe probablement entre 18 % et 35 % (marge d'environ ± 8 points). Les façadiers de métier sont rares : 5 sur 100. Double vérification : chaque preuve contrôlée sur sa source, 12 « indices faibles » et 12 « pas d'activité » tirés au hasard revus par une seconde recherche.</t>
  </si>
  <si>
    <t>Chaîne de traitement exécutée le 24/09/2026 avec des scripts Python, puis corrigée et complétée le 26/09/2026 (revérifications, contre-vérifications, test de précision).</t>
  </si>
  <si>
    <t>Recherche des mots-clés « facade », « ravalement », « bardage » ; filtre côté serveur : entreprises actives, tranches d'effectif 6 à 199 salariés. Chaque requête renvoie moins de 400 résultats (393, 161 et 89) : aucune troncature (limite de l'API : 10 000 résultats par requête).</t>
  </si>
  <si>
    <t>5. Contrôle web assisté par IA</t>
  </si>
  <si>
    <t>Recherche nom + commune par un agent IA (Claude, via l'outil de recherche web de Claude Code) ; lecture des résultats et des fiches (site, PagesJaunes, annuaires, objet social) ; verdict motivé avec lien, non relu un par un. Relecture humaine de 20 verdicts tirés au hasard (26/09/2026) : 18 justes (90 %), aucun faux « Confirmé ». Contre-vérification de 20 autres verdicts sur sources primaires (registres officiels, pages des entreprises) : 19 justes (95 %).</t>
  </si>
  <si>
    <t>Recherche web (agent IA)</t>
  </si>
  <si>
    <t>Pour les entreprises non contrôlées sur le web : lecture de l'activité déclarée au BODACC (annonces de création et de modification). Le 26/09/2026, la lecture a été étendue aux activités déclarées dans toutes les annonces : 20 entreprises supplémentaires confirmées.</t>
  </si>
  <si>
    <t>Entreprises restées sans contrôle web ni activité BODACC exploitable : l'outil de recherche web plafonne à 200 recherches par session, quota atteint.</t>
  </si>
  <si>
    <t>9. Classement par NAF seul</t>
  </si>
  <si>
    <t>NAF hors du bâtiment (restauration, commerce…) : classées hors cible sans recherche web. Les 7 entreprises d'abord exclues pour un NAF « adjacent » ont été revérifiées au BODACC (étape 6) : 6 hors cible, 1 confirmée.</t>
  </si>
  <si>
    <t>INSEE (code NAF)</t>
  </si>
  <si>
    <t>Total classées</t>
  </si>
  <si>
    <t>Étapes 4, 5, 6, 8 et 9 : chaque entreprise est comptée une seule fois.</t>
  </si>
  <si>
    <t>NAF 71.11Z, 71.12B, 22.23Z, 46.73A.</t>
  </si>
  <si>
    <t>Seules les entreprises trouvées par la recherche de l'API sur « façade », « ravalement » ou « bardage » sont captées, en pratique surtout celles dont le nom ou l'enseigne contient ces mots. Un façadier nommé « SARL Dupont » est en général absent.</t>
  </si>
  <si>
    <t>Précision du NAF peu mesurée</t>
  </si>
  <si>
    <t>L'étude montre que les façadiers sont dispersés sur de nombreux codes NAF. Elle ne mesure pas précisément quelle part des entreprises d'un code NAF donné sont des façadiers ; un test sur 100 entreprises en 43.99C en donne un ordre de grandeur (colonne Ampleur).</t>
  </si>
  <si>
    <t>Le test donne un ordre de grandeur pour le code 43.99C (environ 1 entreprise sur 4), pas une mesure précise ; les autres codes NAF ne sont pas mesurés.</t>
  </si>
  <si>
    <t>Test sur 100 entreprises tirées au hasard en 43.99C : 26 ont une activité façade (vraie proportion probablement entre 18 % et 35 %).</t>
  </si>
  <si>
    <t>Une partie des entreprises n'a pu être contrôlée ni sur le web ni via le BODACC : l'outil de recherche web utilisé (Claude Code) plafonne à 200 recherches par session.</t>
  </si>
  <si>
    <t>Ces entreprises restent « Probable » ; le nombre de confirmés est un minimum. Elles ne sont pas réparties au hasard : la vérification a suivi l'ordre façade, ravalement, bardage, et 24 des 83 entreprises « bardage » restent non vérifiées (1 sur 392 pour « façade »). Les couvreurs-bardeurs (NAF 43.91B, 43.99A) sont donc encore sous-représentés parmi les confirmés et dans la dispersion NAF.</t>
  </si>
  <si>
    <t>« Confirmé » signifie qu'une source atteste une activité façade, pas qu'elle est l'activité principale. Plusieurs annuaires recopient l'objet social ; l'activité BODACC est celle déclarée à la création ou lors d'une modification.</t>
  </si>
  <si>
    <t>Verdicts produits par un agent IA</t>
  </si>
  <si>
    <t>Les 201 verdicts web ont été rendus par un agent IA (Claude) à partir de résultats de recherche, selon les règles de l'onglet Méthodologie, sans relecture humaine systématique.</t>
  </si>
  <si>
    <t>Erreurs individuelles possibles, en particulier entre « Probable » et « Douteux » ; une preuve peut venir d'un résumé de recherche plutôt que de la page citée. Sur 40 verdicts vérifiés, 3 erreurs : 2 excès de prudence (un façadier classé « Douteux », un peintre classé « Probable » au lieu de « Douteux ») et 1 faux « Confirmé » (un peintre sans preuve de façade). Toutes corrigées.</t>
  </si>
  <si>
    <t>Fait le 26/09/2026 sur 40 verdicts tirés au hasard : 20 relus par un humain (18 justes) et 20 contre-vérifiés sur sources primaires (19 justes), soit 37 sur 40 (93 %).</t>
  </si>
  <si>
    <t>Les couvreurs-étancheurs faisant du bardage et les poseurs de façade légère sont inclus dans les confirmés, mais segmentés. La colonne Spécialité est attribuée automatiquement (nom, NAF, mots de la preuve) : un couvreur dont le nom contient « façade » peut être rangé en cœur de métier.</t>
  </si>
  <si>
    <t>Le total dépend de la définition retenue ; la répartition par spécialité est indicative (la part « cœur de métier » est un maximum).</t>
  </si>
  <si>
    <t>Prospecter l'onglet Prospects en priorité : les entreprises en procédure collective en sont déjà écartées.</t>
  </si>
  <si>
    <t>Faible : relancer une session avec un quota de recherches plus élevé (environ 2 h 30 à la main)</t>
  </si>
  <si>
    <t>Mesurer la précision du NAF sur un échantillon aléatoire de 43.99C, 43.34Z et 43.29A. Premier test réalisé sur 100 entreprises en 43.99C (onglet Test précision NAF) ; à étendre à 43.34Z et 43.29A.</t>
  </si>
  <si>
    <t>activité déclarée : Couverture - étanchéification - bardage isolation - zinguerie - serrurerie - pose de menuiseries extérieures en bois, pvc, alu - vitrerie - ravalement de façades - peinture extérieure</t>
  </si>
  <si>
    <t>https://www.bodacc.fr/ (SIREN 414887901)</t>
  </si>
  <si>
    <t>activité déclarée : Prestations de services pose de bardage ainsi que tous travaux de Couverture isolation étanchéité zinguerie plafonds serrurerie charpente &amp; Ossature métallique</t>
  </si>
  <si>
    <t>https://www.bodacc.fr/ (SIREN 331015685)</t>
  </si>
  <si>
    <t>activité déclarée : Travaux de couverture et bardage</t>
  </si>
  <si>
    <t>https://www.bodacc.fr/ (SIREN 487943128)</t>
  </si>
  <si>
    <t>activité déclarée : Étanchéité, bardage, couverture</t>
  </si>
  <si>
    <t>https://www.bodacc.fr/ (SIREN 430093427)</t>
  </si>
  <si>
    <t>activité déclarée : bardage etancheite travaux de maçonnerie travaux publics et de batiments ainsi qué la vente de matériaux se rattachant a cette activité et a toutes activités similaires ou connexes</t>
  </si>
  <si>
    <t>https://www.bodacc.fr/ (SIREN 313401549)</t>
  </si>
  <si>
    <t>activité déclarée : La réalisation, le conseil et l'étude de tous travaux de charpente, toitures, isolation façades, se rapportant à la construction, la rénovation et l'entretien de bâtiments industriels, sociaux culturels, sportifs et tertiaires le négoce de matériaux destinés au bâtiment la prise et l'acquisition de tous brevets, licences, procédés et marques</t>
  </si>
  <si>
    <t>https://www.bodacc.fr/ (SIREN 411495096)</t>
  </si>
  <si>
    <t>activité déclarée : Tous travaux de couverture, zinguerie, toiture, charpente, bardage, étanchéité, isolation, l'achat et la vente de tous matériaux s'y rattachant. / TOUS TRAVAUX DE COUVERTURE, ZINGUERIE, TOITURE, BARDAGE, CHARPENTE, ETAN CHEITE, SANITAIRE, CHAUFFAGE, PLOMBERIE, ISOLATION, L'ACHAT ET LA VENTE DE TOUS MATERIAUX S'Y RATTACHANT</t>
  </si>
  <si>
    <t>https://www.bodacc.fr/ (SIREN 337822985)</t>
  </si>
  <si>
    <t>recherche web (relecture humaine)</t>
  </si>
  <si>
    <t>site sombat.fr : « Ravalement de façades et maçonnerie », « rénovation complète de vos façades » ; activité déclarée au BODACC : ravalement, isolation par l'extérieur ; reclassé lors de la relecture humaine (26/09/2026)</t>
  </si>
  <si>
    <t>https://www.sombat.fr/</t>
  </si>
  <si>
    <t>activité déclarée : fourniture, pose et entretien de bardages et de couvertures industrielles</t>
  </si>
  <si>
    <t>https://www.bodacc.fr/ (SIREN 344938337)</t>
  </si>
  <si>
    <t>activité déclarée : Couverture bardage isolation étanchéité menuiserie se rapportant aux bâtiments et la construction d'ouvrages métalliques</t>
  </si>
  <si>
    <t>https://www.bodacc.fr/ (SIREN 402693055)</t>
  </si>
  <si>
    <t>activité déclarée : Couverture, charpente, bardage, isolation, Serrurerie se rapportant à tous bâtiments et constructions et Generalement toutes activités se rapportant à tous bâtiments et constructions</t>
  </si>
  <si>
    <t>https://www.bodacc.fr/ (SIREN 400908273)</t>
  </si>
  <si>
    <t xml:space="preserve">activité déclarée : Entreprise générale de bâtiment et travaux publics, ravalement, rénovation, entretien et réparation d'immeubles, l'achat, la vente, la fabrication, la transformation, l'importation, l'exportation en gros et demi-gros et détail de tous produits et matériaux de construction, de tous produits traditionnels et spéciaux pour les revêtements externes des façades et tous articles, outillage, matériel et </t>
  </si>
  <si>
    <t>https://www.bodacc.fr/ (SIREN 353176571)</t>
  </si>
  <si>
    <t>activité déclarée : Peinture et ravalements bâtiment tous petits travaux du bâtiment</t>
  </si>
  <si>
    <t>https://www.bodacc.fr/ (SIREN 452220866)</t>
  </si>
  <si>
    <t>activité déclarée : peinture ravalement décoration revêtements muraux et sols.</t>
  </si>
  <si>
    <t>https://www.bodacc.fr/ (SIREN 484560966)</t>
  </si>
  <si>
    <t>activité déclarée : Exécution de travaux, tous corps d'état dans le secteur du bâtiment et de la construction et notamment l'activité de peinture, ravalement et revêtement de sols</t>
  </si>
  <si>
    <t>https://www.bodacc.fr/ (SIREN 408604841)</t>
  </si>
  <si>
    <t>activité déclarée : plomberie, chauffage, couverture, bardage, rénovation ; NAF 43.22A (plomberie) atypique</t>
  </si>
  <si>
    <t>https://www.bodacc.fr/ (SIREN 409139946)</t>
  </si>
  <si>
    <t>activité déclarée : non précisée / bardage, entretien, couverture, étanchéité et tout ce qui touche à l'industrie des travaux publics</t>
  </si>
  <si>
    <t>https://www.bodacc.fr/ (SIREN 330940172)</t>
  </si>
  <si>
    <t>activité déclarée : entreprise d'étanchéité en bâtiment de ravalement de bâtiments. / Entreprise d'étanchéité en bâtiment de ravalement de bâtiments</t>
  </si>
  <si>
    <t>https://www.bodacc.fr/ (SIREN 351963350)</t>
  </si>
  <si>
    <t>activité déclarée : profession d'architecte, urbaniste et paysagiste</t>
  </si>
  <si>
    <t>https://www.bodacc.fr/ (SIREN 500592092)</t>
  </si>
  <si>
    <t>recherche web (contre-vérification)</t>
  </si>
  <si>
    <t>peintre (peinture intérieure et extérieure, enduits décoratifs) ; aucune source ne décrit de travaux de façade : reclassé « Probable » lors de la contre-vérification (26/09/2026)</t>
  </si>
  <si>
    <t>https://guide-de-l-habitat.fr/artisans/clermont-l-herault/peintre/abd-facade/</t>
  </si>
  <si>
    <t>activité déclarée : activité en direct ou en sous-traitance, d'étanchéité, bardage</t>
  </si>
  <si>
    <t>https://www.bodacc.fr/ (SIREN 810103317)</t>
  </si>
  <si>
    <t>activité déclarée : groupement d'achat au service des artisans associés (négoce de matériaux)</t>
  </si>
  <si>
    <t>https://www.bodacc.fr/ (SIREN 409695566)</t>
  </si>
  <si>
    <t>activité déclarée : agence de communication, créations graphiques (hors bâtiment)</t>
  </si>
  <si>
    <t>https://www.bodacc.fr/ (SIREN 390035400)</t>
  </si>
  <si>
    <t>activité déclarée : bureau d'études bâtiment, maîtrise d'œuvre, expertises</t>
  </si>
  <si>
    <t>https://www.bodacc.fr/ (SIREN 801618364)</t>
  </si>
  <si>
    <t>activité déclarée : activités d'étanchéité, couverture, bardage, réparation de fuites, travaux de charpente, nettoyage</t>
  </si>
  <si>
    <t>https://www.bodacc.fr/ (SIREN 922615364)</t>
  </si>
  <si>
    <t>activité déclarée : fourniteur et pose de couverture, bardage, zinguerie, isolation</t>
  </si>
  <si>
    <t>https://www.bodacc.fr/ (SIREN 824790992)</t>
  </si>
  <si>
    <t>enseigne KLM ISOLATION FACADE, mais les fiches décrivent un peintre (peinture int./ext., enduits décoratifs), sans activité façade ; reclassé lors de la relecture humaine (26/09/2026)</t>
  </si>
  <si>
    <t>https://guide-de-l-habitat.fr/artisans/entrelacs/peintre/klm/</t>
  </si>
  <si>
    <t>activité déclarée : études techniques bâtiment et génie civil (bureau d'études)</t>
  </si>
  <si>
    <t>https://www.bodacc.fr/ (SIREN 818381733)</t>
  </si>
  <si>
    <t>activité déclarée : distribution et vente de produits de façade (négoce, pas de pose)</t>
  </si>
  <si>
    <t>https://www.bodacc.fr/ (SIREN 334089752)</t>
  </si>
  <si>
    <t>activité déclarée : travaux isolation extérieure, bardage, ravalement, peinture, rénovation, nettoyage et la fourniture et la pose de tous produits et matériels non réglementés.</t>
  </si>
  <si>
    <t>https://www.bodacc.fr/ (SIREN 828159137)</t>
  </si>
  <si>
    <t>entreprise d'étanchéité en bâtiment de ravalement de bâtiments. / Entreprise d'étanchéité en bâtiment de ravalement de bâtiments</t>
  </si>
  <si>
    <t>Couverture - étanchéification - bardage isolation - zinguerie - serrurerie - pose de menuiseries extérieures en bois, pvc, alu - vitrerie - ravalement de façades - peinture extérieure</t>
  </si>
  <si>
    <t>Prestations de services pose de bardage ainsi que tous travaux de Couverture isolation étanchéité zinguerie plafonds serrurerie charpente &amp; Ossature métallique</t>
  </si>
  <si>
    <t>Travaux de couverture et bardage</t>
  </si>
  <si>
    <t>Étanchéité, bardage, couverture</t>
  </si>
  <si>
    <t>activité en direct ou en sous-traitance, d'étanchéité, bardage</t>
  </si>
  <si>
    <t>bardage etancheite travaux de maçonnerie travaux publics et de batiments ainsi qué la vente de matériaux se rattachant a cette activité et a toutes activités similaires ou connexes</t>
  </si>
  <si>
    <t>La réalisation, le conseil et l'étude de tous travaux de charpente, toitures, isolation façades, se rapportant à la construction, la rénovation et l'entretien de bâtiments industriels, sociaux culturels, sportifs et tertiaires le négoce de matériaux destinés au bâtiment la prise et l'acquisition de tous brevets, licences, procédés et marques</t>
  </si>
  <si>
    <t>Tous travaux de couverture, zinguerie, toiture, charpente, bardage, étanchéité, isolation, l'achat et la vente de tous matériaux s'y rattachant. / TOUS TRAVAUX DE COUVERTURE, ZINGUERIE, TOITURE, BARDAGE, CHARPENTE, ETAN CHEITE, SANITAIRE, CHAUFFAGE, PLOMBERIE, ISOLATION, L'ACHAT ET LA VENTE DE TOUS MATERIAUX S'Y RATTACHANT</t>
  </si>
  <si>
    <t>fourniture, pose et entretien de bardages et de couvertures industrielles</t>
  </si>
  <si>
    <t>Couverture bardage isolation étanchéité menuiserie se rapportant aux bâtiments et la construction d'ouvrages métalliques</t>
  </si>
  <si>
    <t>activités d'étanchéité, couverture, bardage, réparation de fuites, travaux de charpente, nettoyage</t>
  </si>
  <si>
    <t>fourniteur et pose de couverture, bardage, zinguerie, isolation</t>
  </si>
  <si>
    <t>Couverture, charpente, bardage, isolation, Serrurerie se rapportant à tous bâtiments et constructions et Generalement toutes activités se rapportant à tous bâtiments et constructions</t>
  </si>
  <si>
    <t xml:space="preserve">Entreprise générale de bâtiment et travaux publics, ravalement, rénovation, entretien et réparation d'immeubles, l'achat, la vente, la fabrication, la transformation, l'importation, l'exportation en gros et demi-gros et détail de tous produits et matériaux de construction, de tous produits traditionnels et spéciaux pour les revêtements externes des façades et tous articles, outillage, matériel et </t>
  </si>
  <si>
    <t>Peinture et ravalements bâtiment tous petits travaux du bâtiment</t>
  </si>
  <si>
    <t>peinture ravalement décoration revêtements muraux et sols.</t>
  </si>
  <si>
    <t>Exécution de travaux, tous corps d'état dans le secteur du bâtiment et de la construction et notamment l'activité de peinture, ravalement et revêtement de sols</t>
  </si>
  <si>
    <t>travaux isolation extérieure, bardage, ravalement, peinture, rénovation, nettoyage et la fourniture et la pose de tous produits et matériels non réglementés.</t>
  </si>
  <si>
    <t>non précisée / bardage, entretien, couverture, étanchéité et tout ce qui touche à l'industrie des travaux publics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</si>
</sst>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color rgb="FFFFFFFF"/>
      <name val="Arial"/>
    </font>
    <font>
      <sz val="11"/>
      <name val="Arial"/>
    </font>
    <font>
      <b/>
      <sz val="14"/>
      <color rgb="FF1F3864"/>
      <name val="Arial"/>
    </font>
    <font>
      <i/>
      <sz val="9"/>
      <color rgb="FF595959"/>
      <name val="Arial"/>
    </font>
    <font>
      <b/>
      <sz val="11"/>
      <name val="Arial"/>
    </font>
    <font>
      <i/>
      <sz val="9"/>
      <name val="Arial"/>
    </font>
    <font>
      <b/>
      <sz val="12"/>
      <color rgb="FF1F3864"/>
      <name val="Arial"/>
    </font>
    <font>
      <sz val="11"/>
      <color rgb="FF0000FF"/>
      <name val="Arial"/>
    </font>
    <font>
      <sz val="11"/>
      <color theme="1"/>
      <name val="Arial"/>
      <family val="2"/>
    </font>
    <font>
      <sz val="11"/>
      <name val="Arial"/>
      <family val="2"/>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3" fillId="0" borderId="0" xfId="0" applyFont="1"/>
    <xf numFmtId="0" fontId="4" fillId="0" borderId="0" xfId="0" applyFont="1"/>
    <xf numFmtId="0" fontId="7" fillId="0" borderId="0" xfId="0" applyFont="1"/>
    <xf numFmtId="0" fontId="1" fillId="2" borderId="1" xfId="0" applyFont="1" applyFill="1" applyBorder="1" applyAlignment="1">
      <alignment vertical="center" wrapText="1"/>
    </xf>
    <xf numFmtId="0" fontId="2" fillId="0" borderId="1" xfId="0" applyFont="1" applyBorder="1" applyAlignment="1">
      <alignment vertical="top" wrapText="1"/>
    </xf>
    <xf numFmtId="0" fontId="8" fillId="0" borderId="1" xfId="0" applyFont="1" applyBorder="1" applyAlignment="1">
      <alignment vertical="top" wrapText="1"/>
    </xf>
    <xf numFmtId="0" fontId="2" fillId="3" borderId="1" xfId="0" applyFont="1" applyFill="1" applyBorder="1" applyAlignment="1">
      <alignment vertical="top" wrapText="1"/>
    </xf>
    <xf numFmtId="0" fontId="5" fillId="3" borderId="1" xfId="0" applyFont="1" applyFill="1" applyBorder="1" applyAlignment="1">
      <alignment vertical="top" wrapText="1"/>
    </xf>
    <xf numFmtId="164" fontId="2" fillId="0" borderId="1" xfId="0" applyNumberFormat="1" applyFont="1" applyBorder="1" applyAlignment="1">
      <alignment vertical="top" wrapText="1"/>
    </xf>
    <xf numFmtId="0" fontId="5" fillId="0" borderId="1" xfId="0" applyFont="1" applyBorder="1"/>
    <xf numFmtId="0" fontId="5" fillId="3" borderId="0" xfId="0" applyFont="1" applyFill="1"/>
    <xf numFmtId="0" fontId="2" fillId="0" borderId="1" xfId="0" applyFont="1" applyBorder="1"/>
    <xf numFmtId="164" fontId="2" fillId="0" borderId="1" xfId="0" applyNumberFormat="1" applyFont="1" applyBorder="1"/>
    <xf numFmtId="164" fontId="5" fillId="0" borderId="1" xfId="0" applyNumberFormat="1" applyFont="1" applyBorder="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0" borderId="1" xfId="0" applyFont="1" applyBorder="1" applyAlignment="1">
      <alignment wrapText="1"/>
    </xf>
    <xf numFmtId="0" fontId="5" fillId="0" borderId="1" xfId="0" applyFont="1" applyBorder="1" applyAlignment="1">
      <alignment wrapText="1"/>
    </xf>
    <xf numFmtId="0" fontId="0" fillId="0" borderId="0" xfId="0" applyAlignment="1">
      <alignment wrapText="1"/>
    </xf>
    <xf numFmtId="0" fontId="2" fillId="0" borderId="1" xfId="0" quotePrefix="1" applyFont="1" applyBorder="1"/>
    <xf numFmtId="0" fontId="9" fillId="0" borderId="0" xfId="0" applyFont="1"/>
    <xf numFmtId="14" fontId="10" fillId="0" borderId="1" xfId="0" quotePrefix="1" applyNumberFormat="1" applyFont="1" applyBorder="1"/>
    <xf numFmtId="0" fontId="10" fillId="0" borderId="1" xfId="0" quotePrefix="1" applyFont="1" applyBorder="1"/>
    <xf numFmtId="0" fontId="10" fillId="0" borderId="1" xfId="0" applyFont="1" applyBorder="1" applyAlignment="1">
      <alignment vertical="top" wrapText="1"/>
    </xf>
    <xf numFmtId="0" fontId="2" fillId="4" borderId="1" xfId="0" applyFont="1" applyFill="1" applyBorder="1"/>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0" xfId="0" applyAlignment="1">
      <alignment horizontal="left" vertical="center" wrapText="1"/>
    </xf>
    <xf numFmtId="0" fontId="6" fillId="0" borderId="0" xfId="0" applyFont="1" applyAlignment="1">
      <alignment vertical="top" wrapText="1"/>
    </xf>
    <xf numFmtId="0" fontId="0" fillId="0" borderId="0" xfId="0"/>
    <xf numFmtId="0" fontId="2" fillId="0" borderId="0" xfId="0" applyFont="1" applyAlignment="1">
      <alignment vertical="top" wrapText="1"/>
    </xf>
    <xf numFmtId="0" fontId="4" fillId="0" borderId="0" xfId="0" applyFont="1" applyAlignment="1">
      <alignment wrapText="1"/>
    </xf>
    <xf numFmtId="0" fontId="2" fillId="0" borderId="1" xfId="0" applyFont="1" applyBorder="1" applyAlignment="1">
      <alignment vertical="top" wrapText="1"/>
    </xf>
    <xf numFmtId="0" fontId="4"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fr-FR"/>
              <a:t>Façadiers confirmés par code NAF</a:t>
            </a:r>
          </a:p>
        </c:rich>
      </c:tx>
      <c:overlay val="1"/>
    </c:title>
    <c:autoTitleDeleted val="0"/>
    <c:plotArea>
      <c:layout/>
      <c:barChart>
        <c:barDir val="bar"/>
        <c:grouping val="clustered"/>
        <c:varyColors val="1"/>
        <c:ser>
          <c:idx val="0"/>
          <c:order val="0"/>
          <c:tx>
            <c:strRef>
              <c:f>'Dispersion NAF'!$C$6</c:f>
              <c:strCache>
                <c:ptCount val="1"/>
                <c:pt idx="0">
                  <c:v>Façadiers confirmés</c:v>
                </c:pt>
              </c:strCache>
            </c:strRef>
          </c:tx>
          <c:spPr>
            <a:ln>
              <a:prstDash val="solid"/>
            </a:ln>
          </c:spPr>
          <c:invertIfNegative val="1"/>
          <c:cat>
            <c:strRef>
              <c:f>'Dispersion NAF'!$A$7:$A$29</c:f>
              <c:strCache>
                <c:ptCount val="23"/>
                <c:pt idx="0">
                  <c:v>43.99C</c:v>
                </c:pt>
                <c:pt idx="1">
                  <c:v>43.34Z</c:v>
                </c:pt>
                <c:pt idx="2">
                  <c:v>43.29A</c:v>
                </c:pt>
                <c:pt idx="3">
                  <c:v>43.39Z</c:v>
                </c:pt>
                <c:pt idx="4">
                  <c:v>43.99D</c:v>
                </c:pt>
                <c:pt idx="5">
                  <c:v>43.99A</c:v>
                </c:pt>
                <c:pt idx="6">
                  <c:v>43.91B</c:v>
                </c:pt>
                <c:pt idx="7">
                  <c:v>43.31Z</c:v>
                </c:pt>
                <c:pt idx="8">
                  <c:v>43.33Z</c:v>
                </c:pt>
                <c:pt idx="9">
                  <c:v>43.32A</c:v>
                </c:pt>
                <c:pt idx="10">
                  <c:v>41.20A</c:v>
                </c:pt>
                <c:pt idx="11">
                  <c:v>41.20B</c:v>
                </c:pt>
                <c:pt idx="12">
                  <c:v>41.10B</c:v>
                </c:pt>
                <c:pt idx="13">
                  <c:v>71.12B</c:v>
                </c:pt>
                <c:pt idx="14">
                  <c:v>43.32B</c:v>
                </c:pt>
                <c:pt idx="15">
                  <c:v>43.99B</c:v>
                </c:pt>
                <c:pt idx="16">
                  <c:v>43.91A</c:v>
                </c:pt>
                <c:pt idx="17">
                  <c:v>81.21Z</c:v>
                </c:pt>
                <c:pt idx="18">
                  <c:v>43.22B</c:v>
                </c:pt>
                <c:pt idx="19">
                  <c:v>68.20B</c:v>
                </c:pt>
                <c:pt idx="20">
                  <c:v>23.70Z</c:v>
                </c:pt>
                <c:pt idx="21">
                  <c:v>43.21A</c:v>
                </c:pt>
                <c:pt idx="22">
                  <c:v>43.22A</c:v>
                </c:pt>
              </c:strCache>
            </c:strRef>
          </c:cat>
          <c:val>
            <c:numRef>
              <c:f>'Dispersion NAF'!$C$7:$C$29</c:f>
              <c:numCache>
                <c:formatCode>General</c:formatCode>
                <c:ptCount val="23"/>
                <c:pt idx="0">
                  <c:v>167</c:v>
                </c:pt>
                <c:pt idx="1">
                  <c:v>88</c:v>
                </c:pt>
                <c:pt idx="2">
                  <c:v>43</c:v>
                </c:pt>
                <c:pt idx="3">
                  <c:v>41</c:v>
                </c:pt>
                <c:pt idx="4">
                  <c:v>33</c:v>
                </c:pt>
                <c:pt idx="5">
                  <c:v>30</c:v>
                </c:pt>
                <c:pt idx="6">
                  <c:v>30</c:v>
                </c:pt>
                <c:pt idx="7">
                  <c:v>15</c:v>
                </c:pt>
                <c:pt idx="8">
                  <c:v>14</c:v>
                </c:pt>
                <c:pt idx="9">
                  <c:v>8</c:v>
                </c:pt>
                <c:pt idx="10">
                  <c:v>6</c:v>
                </c:pt>
                <c:pt idx="11">
                  <c:v>4</c:v>
                </c:pt>
                <c:pt idx="12">
                  <c:v>3</c:v>
                </c:pt>
                <c:pt idx="13">
                  <c:v>3</c:v>
                </c:pt>
                <c:pt idx="14">
                  <c:v>3</c:v>
                </c:pt>
                <c:pt idx="15">
                  <c:v>2</c:v>
                </c:pt>
                <c:pt idx="16">
                  <c:v>2</c:v>
                </c:pt>
                <c:pt idx="17">
                  <c:v>1</c:v>
                </c:pt>
                <c:pt idx="18">
                  <c:v>1</c:v>
                </c:pt>
                <c:pt idx="19">
                  <c:v>1</c:v>
                </c:pt>
                <c:pt idx="20">
                  <c:v>1</c:v>
                </c:pt>
                <c:pt idx="21">
                  <c:v>1</c:v>
                </c:pt>
                <c:pt idx="22">
                  <c:v>1</c:v>
                </c:pt>
              </c:numCache>
            </c:numRef>
          </c:val>
          <c:extLst>
            <c:ext xmlns:c16="http://schemas.microsoft.com/office/drawing/2014/chart" uri="{C3380CC4-5D6E-409C-BE32-E72D297353CC}">
              <c16:uniqueId val="{00000000-EFFE-4262-A2E8-F8EC683A4E35}"/>
            </c:ext>
          </c:extLst>
        </c:ser>
        <c:dLbls>
          <c:showLegendKey val="0"/>
          <c:showVal val="0"/>
          <c:showCatName val="0"/>
          <c:showSerName val="0"/>
          <c:showPercent val="0"/>
          <c:showBubbleSize val="0"/>
        </c:dLbls>
        <c:gapWidth val="15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0</xdr:colOff>
      <xdr:row>5</xdr:row>
      <xdr:rowOff>0</xdr:rowOff>
    </xdr:from>
    <xdr:ext cx="6480000" cy="46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914F-7D00-4E95-AB20-8AEC29B6318D}">
  <dimension ref="A1:C36"/>
  <sheetViews>
    <sheetView showGridLines="0" tabSelected="1" workbookViewId="0"/>
  </sheetViews>
  <sheetFormatPr defaultRowHeight="14.5" x14ac:dyDescent="0.35"/>
  <cols>
    <col min="1" max="1" width="62" customWidth="1"/>
    <col min="2" max="2" width="14" customWidth="1"/>
    <col min="3" max="3" width="70" customWidth="1"/>
  </cols>
  <sheetData>
    <row r="1" spans="1:3" ht="18" x14ac:dyDescent="0.4">
      <c r="A1" s="1" t="s">
        <v>0</v>
      </c>
    </row>
    <row r="2" spans="1:3" x14ac:dyDescent="0.35">
      <c r="A2" s="2" t="s">
        <v>4280</v>
      </c>
    </row>
    <row r="4" spans="1:3" ht="15.5" x14ac:dyDescent="0.35">
      <c r="A4" s="3" t="s">
        <v>1</v>
      </c>
    </row>
    <row r="5" spans="1:3" ht="48" customHeight="1" x14ac:dyDescent="0.35">
      <c r="A5" s="33" t="s">
        <v>4281</v>
      </c>
      <c r="B5" s="32"/>
      <c r="C5" s="32"/>
    </row>
    <row r="6" spans="1:3" ht="48" customHeight="1" x14ac:dyDescent="0.35">
      <c r="A6" s="33" t="s">
        <v>4282</v>
      </c>
      <c r="B6" s="32"/>
      <c r="C6" s="32"/>
    </row>
    <row r="7" spans="1:3" ht="32" customHeight="1" x14ac:dyDescent="0.35">
      <c r="A7" s="33" t="s">
        <v>4283</v>
      </c>
      <c r="B7" s="32"/>
      <c r="C7" s="32"/>
    </row>
    <row r="8" spans="1:3" ht="32" customHeight="1" x14ac:dyDescent="0.35">
      <c r="A8" s="33" t="s">
        <v>2</v>
      </c>
      <c r="B8" s="32"/>
      <c r="C8" s="32"/>
    </row>
    <row r="10" spans="1:3" ht="15.5" x14ac:dyDescent="0.35">
      <c r="A10" s="3" t="s">
        <v>3</v>
      </c>
    </row>
    <row r="11" spans="1:3" x14ac:dyDescent="0.35">
      <c r="A11" s="4" t="s">
        <v>4</v>
      </c>
      <c r="B11" s="4" t="s">
        <v>5</v>
      </c>
      <c r="C11" s="4" t="s">
        <v>6</v>
      </c>
    </row>
    <row r="12" spans="1:3" ht="28" x14ac:dyDescent="0.35">
      <c r="A12" s="5" t="s">
        <v>7</v>
      </c>
      <c r="B12" s="6">
        <v>629</v>
      </c>
      <c r="C12" s="5" t="s">
        <v>8</v>
      </c>
    </row>
    <row r="13" spans="1:3" x14ac:dyDescent="0.35">
      <c r="A13" s="5" t="s">
        <v>9</v>
      </c>
      <c r="B13" s="6">
        <v>4</v>
      </c>
      <c r="C13" s="5" t="s">
        <v>10</v>
      </c>
    </row>
    <row r="14" spans="1:3" x14ac:dyDescent="0.35">
      <c r="A14" s="5" t="s">
        <v>11</v>
      </c>
      <c r="B14" s="5">
        <f>COUNTA(Base!$A$2:$A$626)</f>
        <v>625</v>
      </c>
      <c r="C14" s="5" t="s">
        <v>12</v>
      </c>
    </row>
    <row r="15" spans="1:3" x14ac:dyDescent="0.35">
      <c r="A15" s="7" t="s">
        <v>13</v>
      </c>
      <c r="B15" s="8">
        <f>COUNTIF(Base!$C$2:$C$626,"Confirmé")</f>
        <v>498</v>
      </c>
      <c r="C15" s="5" t="s">
        <v>14</v>
      </c>
    </row>
    <row r="16" spans="1:3" x14ac:dyDescent="0.35">
      <c r="A16" s="7" t="s">
        <v>15</v>
      </c>
      <c r="B16" s="8">
        <f>COUNTIFS(Base!$C$2:$C$626,"Confirmé",Base!$E$2:$E$626,"")</f>
        <v>465</v>
      </c>
      <c r="C16" s="5" t="s">
        <v>16</v>
      </c>
    </row>
    <row r="17" spans="1:3" x14ac:dyDescent="0.35">
      <c r="A17" s="5" t="s">
        <v>17</v>
      </c>
      <c r="B17" s="5">
        <f>COUNTIFS(Base!$C$2:$C$626,"Confirmé",Base!$E$2:$E$626,"NE PAS PROSPECTER*")</f>
        <v>26</v>
      </c>
      <c r="C17" s="5" t="s">
        <v>18</v>
      </c>
    </row>
    <row r="18" spans="1:3" x14ac:dyDescent="0.35">
      <c r="A18" s="5" t="s">
        <v>19</v>
      </c>
      <c r="B18" s="5">
        <f>COUNTIFS(Base!$C$2:$C$626,"Confirmé",Base!$E$2:$E$626,"Vigilance*")</f>
        <v>5</v>
      </c>
      <c r="C18" s="25" t="s">
        <v>4165</v>
      </c>
    </row>
    <row r="19" spans="1:3" x14ac:dyDescent="0.35">
      <c r="A19" s="5" t="s">
        <v>20</v>
      </c>
      <c r="B19" s="5">
        <f>COUNTIFS(Base!$C$2:$C$626,"Confirmé",Base!$E$2:$E$626,"Radiée*")</f>
        <v>2</v>
      </c>
      <c r="C19" s="5"/>
    </row>
    <row r="20" spans="1:3" ht="45" customHeight="1" x14ac:dyDescent="0.35">
      <c r="A20" s="5" t="s">
        <v>21</v>
      </c>
      <c r="B20" s="5">
        <f>COUNTIF(Base!$C$2:$C$626,"Probable")</f>
        <v>64</v>
      </c>
      <c r="C20" s="5" t="s">
        <v>4284</v>
      </c>
    </row>
    <row r="21" spans="1:3" x14ac:dyDescent="0.35">
      <c r="A21" s="5" t="s">
        <v>22</v>
      </c>
      <c r="B21" s="5">
        <f>COUNTIF(Base!$C$2:$C$626,"Douteux")</f>
        <v>26</v>
      </c>
      <c r="C21" s="5"/>
    </row>
    <row r="22" spans="1:3" x14ac:dyDescent="0.35">
      <c r="A22" s="5" t="s">
        <v>23</v>
      </c>
      <c r="B22" s="5">
        <f>COUNTIF(Base!$C$2:$C$626,"Hors cible*")</f>
        <v>37</v>
      </c>
      <c r="C22" s="5" t="s">
        <v>24</v>
      </c>
    </row>
    <row r="23" spans="1:3" x14ac:dyDescent="0.35">
      <c r="A23" s="5" t="s">
        <v>25</v>
      </c>
      <c r="B23" s="5">
        <f>'Dispersion NAF'!$B$4</f>
        <v>23</v>
      </c>
      <c r="C23" s="5" t="s">
        <v>26</v>
      </c>
    </row>
    <row r="24" spans="1:3" x14ac:dyDescent="0.35">
      <c r="A24" s="5" t="s">
        <v>27</v>
      </c>
      <c r="B24" s="9">
        <f>'Dispersion NAF'!$D$7</f>
        <v>0.3353413654618474</v>
      </c>
      <c r="C24" s="5"/>
    </row>
    <row r="25" spans="1:3" x14ac:dyDescent="0.35">
      <c r="A25" s="5" t="s">
        <v>4167</v>
      </c>
      <c r="B25" s="9">
        <f>'Dispersion NAF'!$E$14</f>
        <v>0.89759036144578319</v>
      </c>
      <c r="C25" s="5"/>
    </row>
    <row r="26" spans="1:3" ht="45" customHeight="1" x14ac:dyDescent="0.35">
      <c r="A26" s="5" t="s">
        <v>28</v>
      </c>
      <c r="B26" s="9">
        <f>B15/(B14-COUNTIF(Base!$F$2:$F$626,"non vérifié*"))</f>
        <v>0.86159169550173009</v>
      </c>
      <c r="C26" s="5" t="s">
        <v>4285</v>
      </c>
    </row>
    <row r="28" spans="1:3" ht="15.5" x14ac:dyDescent="0.35">
      <c r="A28" s="3" t="s">
        <v>29</v>
      </c>
    </row>
    <row r="29" spans="1:3" x14ac:dyDescent="0.35">
      <c r="A29" s="4" t="s">
        <v>30</v>
      </c>
      <c r="B29" s="4" t="s">
        <v>31</v>
      </c>
      <c r="C29" s="4" t="s">
        <v>32</v>
      </c>
    </row>
    <row r="30" spans="1:3" ht="45" customHeight="1" x14ac:dyDescent="0.35">
      <c r="A30" s="5" t="s">
        <v>33</v>
      </c>
      <c r="B30" s="5">
        <f>COUNTIFS(Base!$C$2:$C$626,"Confirmé",Base!$D$2:$D$626,A30)</f>
        <v>438</v>
      </c>
      <c r="C30" s="5" t="s">
        <v>4286</v>
      </c>
    </row>
    <row r="31" spans="1:3" x14ac:dyDescent="0.35">
      <c r="A31" s="5" t="s">
        <v>34</v>
      </c>
      <c r="B31" s="5">
        <f>COUNTIFS(Base!$C$2:$C$626,"Confirmé",Base!$D$2:$D$626,A31)</f>
        <v>43</v>
      </c>
      <c r="C31" s="5" t="s">
        <v>35</v>
      </c>
    </row>
    <row r="32" spans="1:3" x14ac:dyDescent="0.35">
      <c r="A32" s="5" t="s">
        <v>36</v>
      </c>
      <c r="B32" s="5">
        <f>COUNTIFS(Base!$C$2:$C$626,"Confirmé",Base!$D$2:$D$626,A32)</f>
        <v>7</v>
      </c>
      <c r="C32" s="5" t="s">
        <v>37</v>
      </c>
    </row>
    <row r="33" spans="1:3" x14ac:dyDescent="0.35">
      <c r="A33" s="5" t="s">
        <v>38</v>
      </c>
      <c r="B33" s="5">
        <f>COUNTIFS(Base!$C$2:$C$626,"Confirmé",Base!$D$2:$D$626,A33)</f>
        <v>10</v>
      </c>
      <c r="C33" s="5" t="s">
        <v>39</v>
      </c>
    </row>
    <row r="34" spans="1:3" x14ac:dyDescent="0.35">
      <c r="A34" s="10" t="s">
        <v>40</v>
      </c>
      <c r="B34" s="10">
        <f>SUM(B30:B33)</f>
        <v>498</v>
      </c>
      <c r="C34" s="10" t="s">
        <v>41</v>
      </c>
    </row>
    <row r="36" spans="1:3" ht="55" customHeight="1" x14ac:dyDescent="0.35">
      <c r="A36" s="31" t="s">
        <v>4287</v>
      </c>
      <c r="B36" s="32"/>
      <c r="C36" s="32"/>
    </row>
  </sheetData>
  <mergeCells count="5">
    <mergeCell ref="A36:C36"/>
    <mergeCell ref="A5:C5"/>
    <mergeCell ref="A8:C8"/>
    <mergeCell ref="A6:C6"/>
    <mergeCell ref="A7:C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931B-2568-42BA-B886-BA08025AAD3A}">
  <dimension ref="A1:I33"/>
  <sheetViews>
    <sheetView showGridLines="0" workbookViewId="0"/>
  </sheetViews>
  <sheetFormatPr defaultRowHeight="14.5" x14ac:dyDescent="0.35"/>
  <cols>
    <col min="1" max="1" width="45.36328125" style="20" customWidth="1"/>
    <col min="2" max="2" width="59.453125" bestFit="1" customWidth="1"/>
    <col min="3" max="3" width="12" customWidth="1"/>
    <col min="4" max="4" width="9" customWidth="1"/>
    <col min="5" max="6" width="11" customWidth="1"/>
    <col min="7" max="7" width="12" customWidth="1"/>
    <col min="8" max="9" width="11" customWidth="1"/>
  </cols>
  <sheetData>
    <row r="1" spans="1:9" ht="36" x14ac:dyDescent="0.4">
      <c r="A1" s="15" t="s">
        <v>42</v>
      </c>
    </row>
    <row r="2" spans="1:9" ht="24.5" x14ac:dyDescent="0.35">
      <c r="A2" s="16" t="s">
        <v>43</v>
      </c>
    </row>
    <row r="4" spans="1:9" x14ac:dyDescent="0.35">
      <c r="A4" s="17" t="s">
        <v>44</v>
      </c>
      <c r="B4" s="11">
        <f>COUNTIF(C7:C29,"&gt;0")</f>
        <v>23</v>
      </c>
    </row>
    <row r="6" spans="1:9" ht="28" x14ac:dyDescent="0.35">
      <c r="A6" s="4" t="s">
        <v>45</v>
      </c>
      <c r="B6" s="4" t="s">
        <v>46</v>
      </c>
      <c r="C6" s="4" t="s">
        <v>13</v>
      </c>
      <c r="D6" s="4" t="s">
        <v>47</v>
      </c>
      <c r="E6" s="4" t="s">
        <v>48</v>
      </c>
      <c r="F6" s="4" t="s">
        <v>49</v>
      </c>
      <c r="G6" s="4" t="s">
        <v>50</v>
      </c>
      <c r="H6" s="4" t="s">
        <v>51</v>
      </c>
      <c r="I6" s="4" t="s">
        <v>52</v>
      </c>
    </row>
    <row r="7" spans="1:9" x14ac:dyDescent="0.35">
      <c r="A7" s="18" t="s">
        <v>53</v>
      </c>
      <c r="B7" s="12" t="s">
        <v>54</v>
      </c>
      <c r="C7" s="12">
        <f>COUNTIFS(Base!$I$2:$I$626,A7,Base!$C$2:$C$626,"Confirmé")</f>
        <v>167</v>
      </c>
      <c r="D7" s="13">
        <f t="shared" ref="D7:D28" si="0">C7/$C$30</f>
        <v>0.3353413654618474</v>
      </c>
      <c r="E7" s="13">
        <f>D7</f>
        <v>0.3353413654618474</v>
      </c>
      <c r="F7" s="12">
        <f>COUNTIFS(Base!$I$2:$I$626,$A7,Base!$C$2:$C$626,"Confirmé",Base!$D$2:$D$626,"Façadier (ravalement, enduits, ITE, bardage)")</f>
        <v>165</v>
      </c>
      <c r="G7" s="12">
        <f>COUNTIFS(Base!$I$2:$I$626,$A7,Base!$C$2:$C$626,"Confirmé",Base!$D$2:$D$626,"Couvreur / étancheur faisant du bardage")</f>
        <v>0</v>
      </c>
      <c r="H7" s="12">
        <f>COUNTIFS(Base!$I$2:$I$626,$A7,Base!$C$2:$C$626,"Confirmé",Base!$D$2:$D$626,"Façade légère / métallique (murs-rideaux, vêture)")</f>
        <v>0</v>
      </c>
      <c r="I7" s="12">
        <f>COUNTIFS(Base!$I$2:$I$626,$A7,Base!$C$2:$C$626,"Confirmé",Base!$D$2:$D$626,"Multi-activité (façade parmi d'autres métiers)")</f>
        <v>2</v>
      </c>
    </row>
    <row r="8" spans="1:9" x14ac:dyDescent="0.35">
      <c r="A8" s="18" t="s">
        <v>55</v>
      </c>
      <c r="B8" s="12" t="s">
        <v>56</v>
      </c>
      <c r="C8" s="12">
        <f>COUNTIFS(Base!$I$2:$I$626,A8,Base!$C$2:$C$626,"Confirmé")</f>
        <v>88</v>
      </c>
      <c r="D8" s="13">
        <f t="shared" si="0"/>
        <v>0.17670682730923695</v>
      </c>
      <c r="E8" s="13">
        <f t="shared" ref="E8:E28" si="1">E7+D8</f>
        <v>0.51204819277108438</v>
      </c>
      <c r="F8" s="12">
        <f>COUNTIFS(Base!$I$2:$I$626,$A8,Base!$C$2:$C$626,"Confirmé",Base!$D$2:$D$626,"Façadier (ravalement, enduits, ITE, bardage)")</f>
        <v>86</v>
      </c>
      <c r="G8" s="12">
        <f>COUNTIFS(Base!$I$2:$I$626,$A8,Base!$C$2:$C$626,"Confirmé",Base!$D$2:$D$626,"Couvreur / étancheur faisant du bardage")</f>
        <v>0</v>
      </c>
      <c r="H8" s="12">
        <f>COUNTIFS(Base!$I$2:$I$626,$A8,Base!$C$2:$C$626,"Confirmé",Base!$D$2:$D$626,"Façade légère / métallique (murs-rideaux, vêture)")</f>
        <v>0</v>
      </c>
      <c r="I8" s="12">
        <f>COUNTIFS(Base!$I$2:$I$626,$A8,Base!$C$2:$C$626,"Confirmé",Base!$D$2:$D$626,"Multi-activité (façade parmi d'autres métiers)")</f>
        <v>2</v>
      </c>
    </row>
    <row r="9" spans="1:9" x14ac:dyDescent="0.35">
      <c r="A9" s="18" t="s">
        <v>57</v>
      </c>
      <c r="B9" s="12" t="s">
        <v>58</v>
      </c>
      <c r="C9" s="12">
        <f>COUNTIFS(Base!$I$2:$I$626,A9,Base!$C$2:$C$626,"Confirmé")</f>
        <v>43</v>
      </c>
      <c r="D9" s="13">
        <f t="shared" si="0"/>
        <v>8.6345381526104423E-2</v>
      </c>
      <c r="E9" s="13">
        <f t="shared" si="1"/>
        <v>0.59839357429718876</v>
      </c>
      <c r="F9" s="12">
        <f>COUNTIFS(Base!$I$2:$I$626,$A9,Base!$C$2:$C$626,"Confirmé",Base!$D$2:$D$626,"Façadier (ravalement, enduits, ITE, bardage)")</f>
        <v>43</v>
      </c>
      <c r="G9" s="12">
        <f>COUNTIFS(Base!$I$2:$I$626,$A9,Base!$C$2:$C$626,"Confirmé",Base!$D$2:$D$626,"Couvreur / étancheur faisant du bardage")</f>
        <v>0</v>
      </c>
      <c r="H9" s="12">
        <f>COUNTIFS(Base!$I$2:$I$626,$A9,Base!$C$2:$C$626,"Confirmé",Base!$D$2:$D$626,"Façade légère / métallique (murs-rideaux, vêture)")</f>
        <v>0</v>
      </c>
      <c r="I9" s="12">
        <f>COUNTIFS(Base!$I$2:$I$626,$A9,Base!$C$2:$C$626,"Confirmé",Base!$D$2:$D$626,"Multi-activité (façade parmi d'autres métiers)")</f>
        <v>0</v>
      </c>
    </row>
    <row r="10" spans="1:9" x14ac:dyDescent="0.35">
      <c r="A10" s="18" t="s">
        <v>59</v>
      </c>
      <c r="B10" s="12" t="s">
        <v>60</v>
      </c>
      <c r="C10" s="12">
        <f>COUNTIFS(Base!$I$2:$I$626,A10,Base!$C$2:$C$626,"Confirmé")</f>
        <v>41</v>
      </c>
      <c r="D10" s="13">
        <f t="shared" si="0"/>
        <v>8.2329317269076302E-2</v>
      </c>
      <c r="E10" s="13">
        <f t="shared" si="1"/>
        <v>0.68072289156626509</v>
      </c>
      <c r="F10" s="12">
        <f>COUNTIFS(Base!$I$2:$I$626,$A10,Base!$C$2:$C$626,"Confirmé",Base!$D$2:$D$626,"Façadier (ravalement, enduits, ITE, bardage)")</f>
        <v>40</v>
      </c>
      <c r="G10" s="12">
        <f>COUNTIFS(Base!$I$2:$I$626,$A10,Base!$C$2:$C$626,"Confirmé",Base!$D$2:$D$626,"Couvreur / étancheur faisant du bardage")</f>
        <v>0</v>
      </c>
      <c r="H10" s="12">
        <f>COUNTIFS(Base!$I$2:$I$626,$A10,Base!$C$2:$C$626,"Confirmé",Base!$D$2:$D$626,"Façade légère / métallique (murs-rideaux, vêture)")</f>
        <v>0</v>
      </c>
      <c r="I10" s="12">
        <f>COUNTIFS(Base!$I$2:$I$626,$A10,Base!$C$2:$C$626,"Confirmé",Base!$D$2:$D$626,"Multi-activité (façade parmi d'autres métiers)")</f>
        <v>1</v>
      </c>
    </row>
    <row r="11" spans="1:9" x14ac:dyDescent="0.35">
      <c r="A11" s="18" t="s">
        <v>61</v>
      </c>
      <c r="B11" s="12" t="s">
        <v>62</v>
      </c>
      <c r="C11" s="12">
        <f>COUNTIFS(Base!$I$2:$I$626,A11,Base!$C$2:$C$626,"Confirmé")</f>
        <v>33</v>
      </c>
      <c r="D11" s="13">
        <f t="shared" si="0"/>
        <v>6.6265060240963861E-2</v>
      </c>
      <c r="E11" s="13">
        <f t="shared" si="1"/>
        <v>0.74698795180722899</v>
      </c>
      <c r="F11" s="12">
        <f>COUNTIFS(Base!$I$2:$I$626,$A11,Base!$C$2:$C$626,"Confirmé",Base!$D$2:$D$626,"Façadier (ravalement, enduits, ITE, bardage)")</f>
        <v>33</v>
      </c>
      <c r="G11" s="12">
        <f>COUNTIFS(Base!$I$2:$I$626,$A11,Base!$C$2:$C$626,"Confirmé",Base!$D$2:$D$626,"Couvreur / étancheur faisant du bardage")</f>
        <v>0</v>
      </c>
      <c r="H11" s="12">
        <f>COUNTIFS(Base!$I$2:$I$626,$A11,Base!$C$2:$C$626,"Confirmé",Base!$D$2:$D$626,"Façade légère / métallique (murs-rideaux, vêture)")</f>
        <v>0</v>
      </c>
      <c r="I11" s="12">
        <f>COUNTIFS(Base!$I$2:$I$626,$A11,Base!$C$2:$C$626,"Confirmé",Base!$D$2:$D$626,"Multi-activité (façade parmi d'autres métiers)")</f>
        <v>0</v>
      </c>
    </row>
    <row r="12" spans="1:9" x14ac:dyDescent="0.35">
      <c r="A12" s="18" t="s">
        <v>63</v>
      </c>
      <c r="B12" s="12" t="s">
        <v>64</v>
      </c>
      <c r="C12" s="12">
        <f>COUNTIFS(Base!$I$2:$I$626,A12,Base!$C$2:$C$626,"Confirmé")</f>
        <v>30</v>
      </c>
      <c r="D12" s="13">
        <f t="shared" si="0"/>
        <v>6.0240963855421686E-2</v>
      </c>
      <c r="E12" s="13">
        <f t="shared" si="1"/>
        <v>0.80722891566265065</v>
      </c>
      <c r="F12" s="12">
        <f>COUNTIFS(Base!$I$2:$I$626,$A12,Base!$C$2:$C$626,"Confirmé",Base!$D$2:$D$626,"Façadier (ravalement, enduits, ITE, bardage)")</f>
        <v>12</v>
      </c>
      <c r="G12" s="12">
        <f>COUNTIFS(Base!$I$2:$I$626,$A12,Base!$C$2:$C$626,"Confirmé",Base!$D$2:$D$626,"Couvreur / étancheur faisant du bardage")</f>
        <v>18</v>
      </c>
      <c r="H12" s="12">
        <f>COUNTIFS(Base!$I$2:$I$626,$A12,Base!$C$2:$C$626,"Confirmé",Base!$D$2:$D$626,"Façade légère / métallique (murs-rideaux, vêture)")</f>
        <v>0</v>
      </c>
      <c r="I12" s="12">
        <f>COUNTIFS(Base!$I$2:$I$626,$A12,Base!$C$2:$C$626,"Confirmé",Base!$D$2:$D$626,"Multi-activité (façade parmi d'autres métiers)")</f>
        <v>0</v>
      </c>
    </row>
    <row r="13" spans="1:9" x14ac:dyDescent="0.35">
      <c r="A13" s="18" t="s">
        <v>65</v>
      </c>
      <c r="B13" s="12" t="s">
        <v>66</v>
      </c>
      <c r="C13" s="12">
        <f>COUNTIFS(Base!$I$2:$I$626,A13,Base!$C$2:$C$626,"Confirmé")</f>
        <v>30</v>
      </c>
      <c r="D13" s="13">
        <f t="shared" si="0"/>
        <v>6.0240963855421686E-2</v>
      </c>
      <c r="E13" s="13">
        <f t="shared" si="1"/>
        <v>0.86746987951807231</v>
      </c>
      <c r="F13" s="12">
        <f>COUNTIFS(Base!$I$2:$I$626,$A13,Base!$C$2:$C$626,"Confirmé",Base!$D$2:$D$626,"Façadier (ravalement, enduits, ITE, bardage)")</f>
        <v>6</v>
      </c>
      <c r="G13" s="12">
        <f>COUNTIFS(Base!$I$2:$I$626,$A13,Base!$C$2:$C$626,"Confirmé",Base!$D$2:$D$626,"Couvreur / étancheur faisant du bardage")</f>
        <v>22</v>
      </c>
      <c r="H13" s="12">
        <f>COUNTIFS(Base!$I$2:$I$626,$A13,Base!$C$2:$C$626,"Confirmé",Base!$D$2:$D$626,"Façade légère / métallique (murs-rideaux, vêture)")</f>
        <v>0</v>
      </c>
      <c r="I13" s="12">
        <f>COUNTIFS(Base!$I$2:$I$626,$A13,Base!$C$2:$C$626,"Confirmé",Base!$D$2:$D$626,"Multi-activité (façade parmi d'autres métiers)")</f>
        <v>2</v>
      </c>
    </row>
    <row r="14" spans="1:9" x14ac:dyDescent="0.35">
      <c r="A14" s="18" t="s">
        <v>67</v>
      </c>
      <c r="B14" s="12" t="s">
        <v>68</v>
      </c>
      <c r="C14" s="12">
        <f>COUNTIFS(Base!$I$2:$I$626,A14,Base!$C$2:$C$626,"Confirmé")</f>
        <v>15</v>
      </c>
      <c r="D14" s="13">
        <f t="shared" si="0"/>
        <v>3.0120481927710843E-2</v>
      </c>
      <c r="E14" s="13">
        <f t="shared" si="1"/>
        <v>0.89759036144578319</v>
      </c>
      <c r="F14" s="12">
        <f>COUNTIFS(Base!$I$2:$I$626,$A14,Base!$C$2:$C$626,"Confirmé",Base!$D$2:$D$626,"Façadier (ravalement, enduits, ITE, bardage)")</f>
        <v>15</v>
      </c>
      <c r="G14" s="12">
        <f>COUNTIFS(Base!$I$2:$I$626,$A14,Base!$C$2:$C$626,"Confirmé",Base!$D$2:$D$626,"Couvreur / étancheur faisant du bardage")</f>
        <v>0</v>
      </c>
      <c r="H14" s="12">
        <f>COUNTIFS(Base!$I$2:$I$626,$A14,Base!$C$2:$C$626,"Confirmé",Base!$D$2:$D$626,"Façade légère / métallique (murs-rideaux, vêture)")</f>
        <v>0</v>
      </c>
      <c r="I14" s="12">
        <f>COUNTIFS(Base!$I$2:$I$626,$A14,Base!$C$2:$C$626,"Confirmé",Base!$D$2:$D$626,"Multi-activité (façade parmi d'autres métiers)")</f>
        <v>0</v>
      </c>
    </row>
    <row r="15" spans="1:9" x14ac:dyDescent="0.35">
      <c r="A15" s="18" t="s">
        <v>69</v>
      </c>
      <c r="B15" s="12" t="s">
        <v>70</v>
      </c>
      <c r="C15" s="12">
        <f>COUNTIFS(Base!$I$2:$I$626,A15,Base!$C$2:$C$626,"Confirmé")</f>
        <v>14</v>
      </c>
      <c r="D15" s="13">
        <f t="shared" si="0"/>
        <v>2.8112449799196786E-2</v>
      </c>
      <c r="E15" s="13">
        <f t="shared" si="1"/>
        <v>0.92570281124498</v>
      </c>
      <c r="F15" s="12">
        <f>COUNTIFS(Base!$I$2:$I$626,$A15,Base!$C$2:$C$626,"Confirmé",Base!$D$2:$D$626,"Façadier (ravalement, enduits, ITE, bardage)")</f>
        <v>14</v>
      </c>
      <c r="G15" s="12">
        <f>COUNTIFS(Base!$I$2:$I$626,$A15,Base!$C$2:$C$626,"Confirmé",Base!$D$2:$D$626,"Couvreur / étancheur faisant du bardage")</f>
        <v>0</v>
      </c>
      <c r="H15" s="12">
        <f>COUNTIFS(Base!$I$2:$I$626,$A15,Base!$C$2:$C$626,"Confirmé",Base!$D$2:$D$626,"Façade légère / métallique (murs-rideaux, vêture)")</f>
        <v>0</v>
      </c>
      <c r="I15" s="12">
        <f>COUNTIFS(Base!$I$2:$I$626,$A15,Base!$C$2:$C$626,"Confirmé",Base!$D$2:$D$626,"Multi-activité (façade parmi d'autres métiers)")</f>
        <v>0</v>
      </c>
    </row>
    <row r="16" spans="1:9" x14ac:dyDescent="0.35">
      <c r="A16" s="18" t="s">
        <v>71</v>
      </c>
      <c r="B16" s="12" t="s">
        <v>72</v>
      </c>
      <c r="C16" s="12">
        <f>COUNTIFS(Base!$I$2:$I$626,A16,Base!$C$2:$C$626,"Confirmé")</f>
        <v>8</v>
      </c>
      <c r="D16" s="13">
        <f t="shared" si="0"/>
        <v>1.6064257028112448E-2</v>
      </c>
      <c r="E16" s="13">
        <f t="shared" si="1"/>
        <v>0.94176706827309242</v>
      </c>
      <c r="F16" s="12">
        <f>COUNTIFS(Base!$I$2:$I$626,$A16,Base!$C$2:$C$626,"Confirmé",Base!$D$2:$D$626,"Façadier (ravalement, enduits, ITE, bardage)")</f>
        <v>5</v>
      </c>
      <c r="G16" s="12">
        <f>COUNTIFS(Base!$I$2:$I$626,$A16,Base!$C$2:$C$626,"Confirmé",Base!$D$2:$D$626,"Couvreur / étancheur faisant du bardage")</f>
        <v>0</v>
      </c>
      <c r="H16" s="12">
        <f>COUNTIFS(Base!$I$2:$I$626,$A16,Base!$C$2:$C$626,"Confirmé",Base!$D$2:$D$626,"Façade légère / métallique (murs-rideaux, vêture)")</f>
        <v>3</v>
      </c>
      <c r="I16" s="12">
        <f>COUNTIFS(Base!$I$2:$I$626,$A16,Base!$C$2:$C$626,"Confirmé",Base!$D$2:$D$626,"Multi-activité (façade parmi d'autres métiers)")</f>
        <v>0</v>
      </c>
    </row>
    <row r="17" spans="1:9" x14ac:dyDescent="0.35">
      <c r="A17" s="18" t="s">
        <v>73</v>
      </c>
      <c r="B17" s="12" t="s">
        <v>74</v>
      </c>
      <c r="C17" s="12">
        <f>COUNTIFS(Base!$I$2:$I$626,A17,Base!$C$2:$C$626,"Confirmé")</f>
        <v>6</v>
      </c>
      <c r="D17" s="13">
        <f t="shared" si="0"/>
        <v>1.2048192771084338E-2</v>
      </c>
      <c r="E17" s="13">
        <f t="shared" si="1"/>
        <v>0.9538152610441768</v>
      </c>
      <c r="F17" s="12">
        <f>COUNTIFS(Base!$I$2:$I$626,$A17,Base!$C$2:$C$626,"Confirmé",Base!$D$2:$D$626,"Façadier (ravalement, enduits, ITE, bardage)")</f>
        <v>6</v>
      </c>
      <c r="G17" s="12">
        <f>COUNTIFS(Base!$I$2:$I$626,$A17,Base!$C$2:$C$626,"Confirmé",Base!$D$2:$D$626,"Couvreur / étancheur faisant du bardage")</f>
        <v>0</v>
      </c>
      <c r="H17" s="12">
        <f>COUNTIFS(Base!$I$2:$I$626,$A17,Base!$C$2:$C$626,"Confirmé",Base!$D$2:$D$626,"Façade légère / métallique (murs-rideaux, vêture)")</f>
        <v>0</v>
      </c>
      <c r="I17" s="12">
        <f>COUNTIFS(Base!$I$2:$I$626,$A17,Base!$C$2:$C$626,"Confirmé",Base!$D$2:$D$626,"Multi-activité (façade parmi d'autres métiers)")</f>
        <v>0</v>
      </c>
    </row>
    <row r="18" spans="1:9" x14ac:dyDescent="0.35">
      <c r="A18" s="18" t="s">
        <v>79</v>
      </c>
      <c r="B18" s="12" t="s">
        <v>80</v>
      </c>
      <c r="C18" s="12">
        <f>COUNTIFS(Base!$I$2:$I$626,A18,Base!$C$2:$C$626,"Confirmé")</f>
        <v>4</v>
      </c>
      <c r="D18" s="13">
        <f t="shared" si="0"/>
        <v>8.0321285140562242E-3</v>
      </c>
      <c r="E18" s="13">
        <f t="shared" si="1"/>
        <v>0.96184738955823301</v>
      </c>
      <c r="F18" s="12">
        <f>COUNTIFS(Base!$I$2:$I$626,$A18,Base!$C$2:$C$626,"Confirmé",Base!$D$2:$D$626,"Façadier (ravalement, enduits, ITE, bardage)")</f>
        <v>3</v>
      </c>
      <c r="G18" s="12">
        <f>COUNTIFS(Base!$I$2:$I$626,$A18,Base!$C$2:$C$626,"Confirmé",Base!$D$2:$D$626,"Couvreur / étancheur faisant du bardage")</f>
        <v>0</v>
      </c>
      <c r="H18" s="12">
        <f>COUNTIFS(Base!$I$2:$I$626,$A18,Base!$C$2:$C$626,"Confirmé",Base!$D$2:$D$626,"Façade légère / métallique (murs-rideaux, vêture)")</f>
        <v>0</v>
      </c>
      <c r="I18" s="12">
        <f>COUNTIFS(Base!$I$2:$I$626,$A18,Base!$C$2:$C$626,"Confirmé",Base!$D$2:$D$626,"Multi-activité (façade parmi d'autres métiers)")</f>
        <v>1</v>
      </c>
    </row>
    <row r="19" spans="1:9" x14ac:dyDescent="0.35">
      <c r="A19" s="18" t="s">
        <v>75</v>
      </c>
      <c r="B19" s="12" t="s">
        <v>76</v>
      </c>
      <c r="C19" s="12">
        <f>COUNTIFS(Base!$I$2:$I$626,A19,Base!$C$2:$C$626,"Confirmé")</f>
        <v>3</v>
      </c>
      <c r="D19" s="13">
        <f t="shared" si="0"/>
        <v>6.024096385542169E-3</v>
      </c>
      <c r="E19" s="13">
        <f t="shared" si="1"/>
        <v>0.96787148594377514</v>
      </c>
      <c r="F19" s="12">
        <f>COUNTIFS(Base!$I$2:$I$626,$A19,Base!$C$2:$C$626,"Confirmé",Base!$D$2:$D$626,"Façadier (ravalement, enduits, ITE, bardage)")</f>
        <v>3</v>
      </c>
      <c r="G19" s="12">
        <f>COUNTIFS(Base!$I$2:$I$626,$A19,Base!$C$2:$C$626,"Confirmé",Base!$D$2:$D$626,"Couvreur / étancheur faisant du bardage")</f>
        <v>0</v>
      </c>
      <c r="H19" s="12">
        <f>COUNTIFS(Base!$I$2:$I$626,$A19,Base!$C$2:$C$626,"Confirmé",Base!$D$2:$D$626,"Façade légère / métallique (murs-rideaux, vêture)")</f>
        <v>0</v>
      </c>
      <c r="I19" s="12">
        <f>COUNTIFS(Base!$I$2:$I$626,$A19,Base!$C$2:$C$626,"Confirmé",Base!$D$2:$D$626,"Multi-activité (façade parmi d'autres métiers)")</f>
        <v>0</v>
      </c>
    </row>
    <row r="20" spans="1:9" x14ac:dyDescent="0.35">
      <c r="A20" s="18" t="s">
        <v>77</v>
      </c>
      <c r="B20" s="12" t="s">
        <v>78</v>
      </c>
      <c r="C20" s="12">
        <f>COUNTIFS(Base!$I$2:$I$626,A20,Base!$C$2:$C$626,"Confirmé")</f>
        <v>3</v>
      </c>
      <c r="D20" s="13">
        <f t="shared" si="0"/>
        <v>6.024096385542169E-3</v>
      </c>
      <c r="E20" s="13">
        <f t="shared" si="1"/>
        <v>0.97389558232931728</v>
      </c>
      <c r="F20" s="12">
        <f>COUNTIFS(Base!$I$2:$I$626,$A20,Base!$C$2:$C$626,"Confirmé",Base!$D$2:$D$626,"Façadier (ravalement, enduits, ITE, bardage)")</f>
        <v>2</v>
      </c>
      <c r="G20" s="12">
        <f>COUNTIFS(Base!$I$2:$I$626,$A20,Base!$C$2:$C$626,"Confirmé",Base!$D$2:$D$626,"Couvreur / étancheur faisant du bardage")</f>
        <v>0</v>
      </c>
      <c r="H20" s="12">
        <f>COUNTIFS(Base!$I$2:$I$626,$A20,Base!$C$2:$C$626,"Confirmé",Base!$D$2:$D$626,"Façade légère / métallique (murs-rideaux, vêture)")</f>
        <v>1</v>
      </c>
      <c r="I20" s="12">
        <f>COUNTIFS(Base!$I$2:$I$626,$A20,Base!$C$2:$C$626,"Confirmé",Base!$D$2:$D$626,"Multi-activité (façade parmi d'autres métiers)")</f>
        <v>0</v>
      </c>
    </row>
    <row r="21" spans="1:9" x14ac:dyDescent="0.35">
      <c r="A21" s="18" t="s">
        <v>81</v>
      </c>
      <c r="B21" s="12" t="s">
        <v>82</v>
      </c>
      <c r="C21" s="12">
        <f>COUNTIFS(Base!$I$2:$I$626,A21,Base!$C$2:$C$626,"Confirmé")</f>
        <v>3</v>
      </c>
      <c r="D21" s="13">
        <f t="shared" si="0"/>
        <v>6.024096385542169E-3</v>
      </c>
      <c r="E21" s="13">
        <f t="shared" si="1"/>
        <v>0.97991967871485941</v>
      </c>
      <c r="F21" s="12">
        <f>COUNTIFS(Base!$I$2:$I$626,$A21,Base!$C$2:$C$626,"Confirmé",Base!$D$2:$D$626,"Façadier (ravalement, enduits, ITE, bardage)")</f>
        <v>0</v>
      </c>
      <c r="G21" s="12">
        <f>COUNTIFS(Base!$I$2:$I$626,$A21,Base!$C$2:$C$626,"Confirmé",Base!$D$2:$D$626,"Couvreur / étancheur faisant du bardage")</f>
        <v>0</v>
      </c>
      <c r="H21" s="12">
        <f>COUNTIFS(Base!$I$2:$I$626,$A21,Base!$C$2:$C$626,"Confirmé",Base!$D$2:$D$626,"Façade légère / métallique (murs-rideaux, vêture)")</f>
        <v>3</v>
      </c>
      <c r="I21" s="12">
        <f>COUNTIFS(Base!$I$2:$I$626,$A21,Base!$C$2:$C$626,"Confirmé",Base!$D$2:$D$626,"Multi-activité (façade parmi d'autres métiers)")</f>
        <v>0</v>
      </c>
    </row>
    <row r="22" spans="1:9" x14ac:dyDescent="0.35">
      <c r="A22" s="18" t="s">
        <v>83</v>
      </c>
      <c r="B22" s="12" t="s">
        <v>84</v>
      </c>
      <c r="C22" s="12">
        <f>COUNTIFS(Base!$I$2:$I$626,A22,Base!$C$2:$C$626,"Confirmé")</f>
        <v>2</v>
      </c>
      <c r="D22" s="13">
        <f t="shared" si="0"/>
        <v>4.0160642570281121E-3</v>
      </c>
      <c r="E22" s="13">
        <f t="shared" si="1"/>
        <v>0.98393574297188757</v>
      </c>
      <c r="F22" s="12">
        <f>COUNTIFS(Base!$I$2:$I$626,$A22,Base!$C$2:$C$626,"Confirmé",Base!$D$2:$D$626,"Façadier (ravalement, enduits, ITE, bardage)")</f>
        <v>1</v>
      </c>
      <c r="G22" s="12">
        <f>COUNTIFS(Base!$I$2:$I$626,$A22,Base!$C$2:$C$626,"Confirmé",Base!$D$2:$D$626,"Couvreur / étancheur faisant du bardage")</f>
        <v>0</v>
      </c>
      <c r="H22" s="12">
        <f>COUNTIFS(Base!$I$2:$I$626,$A22,Base!$C$2:$C$626,"Confirmé",Base!$D$2:$D$626,"Façade légère / métallique (murs-rideaux, vêture)")</f>
        <v>0</v>
      </c>
      <c r="I22" s="12">
        <f>COUNTIFS(Base!$I$2:$I$626,$A22,Base!$C$2:$C$626,"Confirmé",Base!$D$2:$D$626,"Multi-activité (façade parmi d'autres métiers)")</f>
        <v>1</v>
      </c>
    </row>
    <row r="23" spans="1:9" x14ac:dyDescent="0.35">
      <c r="A23" s="18" t="s">
        <v>85</v>
      </c>
      <c r="B23" s="12" t="s">
        <v>86</v>
      </c>
      <c r="C23" s="12">
        <f>COUNTIFS(Base!$I$2:$I$626,A23,Base!$C$2:$C$626,"Confirmé")</f>
        <v>2</v>
      </c>
      <c r="D23" s="13">
        <f t="shared" si="0"/>
        <v>4.0160642570281121E-3</v>
      </c>
      <c r="E23" s="13">
        <f t="shared" si="1"/>
        <v>0.98795180722891573</v>
      </c>
      <c r="F23" s="12">
        <f>COUNTIFS(Base!$I$2:$I$626,$A23,Base!$C$2:$C$626,"Confirmé",Base!$D$2:$D$626,"Façadier (ravalement, enduits, ITE, bardage)")</f>
        <v>0</v>
      </c>
      <c r="G23" s="12">
        <f>COUNTIFS(Base!$I$2:$I$626,$A23,Base!$C$2:$C$626,"Confirmé",Base!$D$2:$D$626,"Couvreur / étancheur faisant du bardage")</f>
        <v>2</v>
      </c>
      <c r="H23" s="12">
        <f>COUNTIFS(Base!$I$2:$I$626,$A23,Base!$C$2:$C$626,"Confirmé",Base!$D$2:$D$626,"Façade légère / métallique (murs-rideaux, vêture)")</f>
        <v>0</v>
      </c>
      <c r="I23" s="12">
        <f>COUNTIFS(Base!$I$2:$I$626,$A23,Base!$C$2:$C$626,"Confirmé",Base!$D$2:$D$626,"Multi-activité (façade parmi d'autres métiers)")</f>
        <v>0</v>
      </c>
    </row>
    <row r="24" spans="1:9" x14ac:dyDescent="0.35">
      <c r="A24" s="18" t="s">
        <v>87</v>
      </c>
      <c r="B24" s="12" t="s">
        <v>88</v>
      </c>
      <c r="C24" s="12">
        <f>COUNTIFS(Base!$I$2:$I$626,A24,Base!$C$2:$C$626,"Confirmé")</f>
        <v>1</v>
      </c>
      <c r="D24" s="13">
        <f t="shared" si="0"/>
        <v>2.008032128514056E-3</v>
      </c>
      <c r="E24" s="13">
        <f t="shared" si="1"/>
        <v>0.98995983935742982</v>
      </c>
      <c r="F24" s="12">
        <f>COUNTIFS(Base!$I$2:$I$626,$A24,Base!$C$2:$C$626,"Confirmé",Base!$D$2:$D$626,"Façadier (ravalement, enduits, ITE, bardage)")</f>
        <v>1</v>
      </c>
      <c r="G24" s="12">
        <f>COUNTIFS(Base!$I$2:$I$626,$A24,Base!$C$2:$C$626,"Confirmé",Base!$D$2:$D$626,"Couvreur / étancheur faisant du bardage")</f>
        <v>0</v>
      </c>
      <c r="H24" s="12">
        <f>COUNTIFS(Base!$I$2:$I$626,$A24,Base!$C$2:$C$626,"Confirmé",Base!$D$2:$D$626,"Façade légère / métallique (murs-rideaux, vêture)")</f>
        <v>0</v>
      </c>
      <c r="I24" s="12">
        <f>COUNTIFS(Base!$I$2:$I$626,$A24,Base!$C$2:$C$626,"Confirmé",Base!$D$2:$D$626,"Multi-activité (façade parmi d'autres métiers)")</f>
        <v>0</v>
      </c>
    </row>
    <row r="25" spans="1:9" x14ac:dyDescent="0.35">
      <c r="A25" s="18" t="s">
        <v>89</v>
      </c>
      <c r="B25" s="12" t="s">
        <v>90</v>
      </c>
      <c r="C25" s="12">
        <f>COUNTIFS(Base!$I$2:$I$626,A25,Base!$C$2:$C$626,"Confirmé")</f>
        <v>1</v>
      </c>
      <c r="D25" s="13">
        <f t="shared" si="0"/>
        <v>2.008032128514056E-3</v>
      </c>
      <c r="E25" s="13">
        <f t="shared" si="1"/>
        <v>0.9919678714859439</v>
      </c>
      <c r="F25" s="12">
        <f>COUNTIFS(Base!$I$2:$I$626,$A25,Base!$C$2:$C$626,"Confirmé",Base!$D$2:$D$626,"Façadier (ravalement, enduits, ITE, bardage)")</f>
        <v>1</v>
      </c>
      <c r="G25" s="12">
        <f>COUNTIFS(Base!$I$2:$I$626,$A25,Base!$C$2:$C$626,"Confirmé",Base!$D$2:$D$626,"Couvreur / étancheur faisant du bardage")</f>
        <v>0</v>
      </c>
      <c r="H25" s="12">
        <f>COUNTIFS(Base!$I$2:$I$626,$A25,Base!$C$2:$C$626,"Confirmé",Base!$D$2:$D$626,"Façade légère / métallique (murs-rideaux, vêture)")</f>
        <v>0</v>
      </c>
      <c r="I25" s="12">
        <f>COUNTIFS(Base!$I$2:$I$626,$A25,Base!$C$2:$C$626,"Confirmé",Base!$D$2:$D$626,"Multi-activité (façade parmi d'autres métiers)")</f>
        <v>0</v>
      </c>
    </row>
    <row r="26" spans="1:9" x14ac:dyDescent="0.35">
      <c r="A26" s="18" t="s">
        <v>91</v>
      </c>
      <c r="B26" s="12" t="s">
        <v>92</v>
      </c>
      <c r="C26" s="12">
        <f>COUNTIFS(Base!$I$2:$I$626,A26,Base!$C$2:$C$626,"Confirmé")</f>
        <v>1</v>
      </c>
      <c r="D26" s="13">
        <f t="shared" si="0"/>
        <v>2.008032128514056E-3</v>
      </c>
      <c r="E26" s="13">
        <f t="shared" si="1"/>
        <v>0.99397590361445798</v>
      </c>
      <c r="F26" s="12">
        <f>COUNTIFS(Base!$I$2:$I$626,$A26,Base!$C$2:$C$626,"Confirmé",Base!$D$2:$D$626,"Façadier (ravalement, enduits, ITE, bardage)")</f>
        <v>1</v>
      </c>
      <c r="G26" s="12">
        <f>COUNTIFS(Base!$I$2:$I$626,$A26,Base!$C$2:$C$626,"Confirmé",Base!$D$2:$D$626,"Couvreur / étancheur faisant du bardage")</f>
        <v>0</v>
      </c>
      <c r="H26" s="12">
        <f>COUNTIFS(Base!$I$2:$I$626,$A26,Base!$C$2:$C$626,"Confirmé",Base!$D$2:$D$626,"Façade légère / métallique (murs-rideaux, vêture)")</f>
        <v>0</v>
      </c>
      <c r="I26" s="12">
        <f>COUNTIFS(Base!$I$2:$I$626,$A26,Base!$C$2:$C$626,"Confirmé",Base!$D$2:$D$626,"Multi-activité (façade parmi d'autres métiers)")</f>
        <v>0</v>
      </c>
    </row>
    <row r="27" spans="1:9" x14ac:dyDescent="0.35">
      <c r="A27" s="18" t="s">
        <v>93</v>
      </c>
      <c r="B27" s="12" t="s">
        <v>94</v>
      </c>
      <c r="C27" s="12">
        <f>COUNTIFS(Base!$I$2:$I$626,A27,Base!$C$2:$C$626,"Confirmé")</f>
        <v>1</v>
      </c>
      <c r="D27" s="13">
        <f t="shared" si="0"/>
        <v>2.008032128514056E-3</v>
      </c>
      <c r="E27" s="13">
        <f t="shared" si="1"/>
        <v>0.99598393574297206</v>
      </c>
      <c r="F27" s="12">
        <f>COUNTIFS(Base!$I$2:$I$626,$A27,Base!$C$2:$C$626,"Confirmé",Base!$D$2:$D$626,"Façadier (ravalement, enduits, ITE, bardage)")</f>
        <v>1</v>
      </c>
      <c r="G27" s="12">
        <f>COUNTIFS(Base!$I$2:$I$626,$A27,Base!$C$2:$C$626,"Confirmé",Base!$D$2:$D$626,"Couvreur / étancheur faisant du bardage")</f>
        <v>0</v>
      </c>
      <c r="H27" s="12">
        <f>COUNTIFS(Base!$I$2:$I$626,$A27,Base!$C$2:$C$626,"Confirmé",Base!$D$2:$D$626,"Façade légère / métallique (murs-rideaux, vêture)")</f>
        <v>0</v>
      </c>
      <c r="I27" s="12">
        <f>COUNTIFS(Base!$I$2:$I$626,$A27,Base!$C$2:$C$626,"Confirmé",Base!$D$2:$D$626,"Multi-activité (façade parmi d'autres métiers)")</f>
        <v>0</v>
      </c>
    </row>
    <row r="28" spans="1:9" x14ac:dyDescent="0.35">
      <c r="A28" s="18" t="s">
        <v>95</v>
      </c>
      <c r="B28" s="12" t="s">
        <v>96</v>
      </c>
      <c r="C28" s="12">
        <f>COUNTIFS(Base!$I$2:$I$626,A28,Base!$C$2:$C$626,"Confirmé")</f>
        <v>1</v>
      </c>
      <c r="D28" s="13">
        <f t="shared" si="0"/>
        <v>2.008032128514056E-3</v>
      </c>
      <c r="E28" s="13">
        <f t="shared" si="1"/>
        <v>0.99799196787148614</v>
      </c>
      <c r="F28" s="12">
        <f>COUNTIFS(Base!$I$2:$I$626,$A28,Base!$C$2:$C$626,"Confirmé",Base!$D$2:$D$626,"Façadier (ravalement, enduits, ITE, bardage)")</f>
        <v>0</v>
      </c>
      <c r="G28" s="12">
        <f>COUNTIFS(Base!$I$2:$I$626,$A28,Base!$C$2:$C$626,"Confirmé",Base!$D$2:$D$626,"Couvreur / étancheur faisant du bardage")</f>
        <v>0</v>
      </c>
      <c r="H28" s="12">
        <f>COUNTIFS(Base!$I$2:$I$626,$A28,Base!$C$2:$C$626,"Confirmé",Base!$D$2:$D$626,"Façade légère / métallique (murs-rideaux, vêture)")</f>
        <v>0</v>
      </c>
      <c r="I28" s="12">
        <f>COUNTIFS(Base!$I$2:$I$626,$A28,Base!$C$2:$C$626,"Confirmé",Base!$D$2:$D$626,"Multi-activité (façade parmi d'autres métiers)")</f>
        <v>1</v>
      </c>
    </row>
    <row r="29" spans="1:9" x14ac:dyDescent="0.35">
      <c r="A29" s="18" t="s">
        <v>3242</v>
      </c>
      <c r="B29" s="12" t="s">
        <v>3243</v>
      </c>
      <c r="C29" s="12">
        <f>COUNTIFS(Base!$I$2:$I$626,A29,Base!$C$2:$C$626,"Confirmé")</f>
        <v>1</v>
      </c>
      <c r="D29" s="13">
        <f>C29/$C$30</f>
        <v>2.008032128514056E-3</v>
      </c>
      <c r="E29" s="13">
        <f>E28+D29</f>
        <v>1.0000000000000002</v>
      </c>
      <c r="F29" s="12">
        <f>COUNTIFS(Base!$I$2:$I$626,$A29,Base!$C$2:$C$626,"Confirmé",Base!$D$2:$D$626,"Façadier (ravalement, enduits, ITE, bardage)")</f>
        <v>0</v>
      </c>
      <c r="G29" s="12">
        <f>COUNTIFS(Base!$I$2:$I$626,$A29,Base!$C$2:$C$626,"Confirmé",Base!$D$2:$D$626,"Couvreur / étancheur faisant du bardage")</f>
        <v>1</v>
      </c>
      <c r="H29" s="12">
        <f>COUNTIFS(Base!$I$2:$I$626,$A29,Base!$C$2:$C$626,"Confirmé",Base!$D$2:$D$626,"Façade légère / métallique (murs-rideaux, vêture)")</f>
        <v>0</v>
      </c>
      <c r="I29" s="12">
        <f>COUNTIFS(Base!$I$2:$I$626,$A29,Base!$C$2:$C$626,"Confirmé",Base!$D$2:$D$626,"Multi-activité (façade parmi d'autres métiers)")</f>
        <v>0</v>
      </c>
    </row>
    <row r="30" spans="1:9" x14ac:dyDescent="0.35">
      <c r="A30" s="19" t="s">
        <v>40</v>
      </c>
      <c r="B30" s="10"/>
      <c r="C30" s="10">
        <f>SUM(C7:C29)</f>
        <v>498</v>
      </c>
      <c r="D30" s="14">
        <f>SUM(D7:D29)</f>
        <v>1.0000000000000002</v>
      </c>
      <c r="E30" s="10"/>
      <c r="F30" s="10">
        <f>SUM(F7:F29)</f>
        <v>438</v>
      </c>
      <c r="G30" s="10">
        <f>SUM(G7:G29)</f>
        <v>43</v>
      </c>
      <c r="H30" s="10">
        <f>SUM(H7:H29)</f>
        <v>7</v>
      </c>
      <c r="I30" s="10">
        <f>SUM(I7:I29)</f>
        <v>10</v>
      </c>
    </row>
    <row r="32" spans="1:9" ht="70" customHeight="1" x14ac:dyDescent="0.35">
      <c r="A32" s="31" t="s">
        <v>4288</v>
      </c>
      <c r="B32" s="32"/>
      <c r="C32" s="32"/>
      <c r="D32" s="32"/>
      <c r="E32" s="32"/>
      <c r="F32" s="32"/>
      <c r="G32" s="32"/>
      <c r="H32" s="32"/>
      <c r="I32" s="32"/>
    </row>
    <row r="33" spans="1:9" ht="40" customHeight="1" x14ac:dyDescent="0.35">
      <c r="A33" s="31" t="s">
        <v>4289</v>
      </c>
      <c r="B33" s="32"/>
      <c r="C33" s="32"/>
      <c r="D33" s="32"/>
      <c r="E33" s="32"/>
      <c r="F33" s="32"/>
      <c r="G33" s="32"/>
      <c r="H33" s="32"/>
      <c r="I33" s="32"/>
    </row>
  </sheetData>
  <mergeCells count="2">
    <mergeCell ref="A32:I32"/>
    <mergeCell ref="A33:I3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1110-775A-432C-AE4F-3E5C905D3B36}">
  <dimension ref="A1:H117"/>
  <sheetViews>
    <sheetView showGridLines="0" workbookViewId="0"/>
  </sheetViews>
  <sheetFormatPr defaultRowHeight="14.5" x14ac:dyDescent="0.35"/>
  <cols>
    <col min="1" max="1" width="5" customWidth="1"/>
    <col min="2" max="2" width="12" customWidth="1"/>
    <col min="3" max="3" width="34" customWidth="1"/>
    <col min="4" max="4" width="24" customWidth="1"/>
    <col min="5" max="5" width="11" customWidth="1"/>
    <col min="6" max="6" width="28" customWidth="1"/>
    <col min="7" max="7" width="62" customWidth="1"/>
    <col min="8" max="8" width="48" customWidth="1"/>
  </cols>
  <sheetData>
    <row r="1" spans="1:8" ht="22" customHeight="1" x14ac:dyDescent="0.4">
      <c r="A1" s="1" t="s">
        <v>4169</v>
      </c>
    </row>
    <row r="2" spans="1:8" ht="30" customHeight="1" x14ac:dyDescent="0.35">
      <c r="A2" s="34" t="s">
        <v>4170</v>
      </c>
      <c r="B2" s="32"/>
      <c r="C2" s="32"/>
      <c r="D2" s="32"/>
      <c r="E2" s="32"/>
      <c r="F2" s="32"/>
      <c r="G2" s="32"/>
      <c r="H2" s="32"/>
    </row>
    <row r="3" spans="1:8" ht="30" customHeight="1" x14ac:dyDescent="0.35">
      <c r="A3" s="34" t="s">
        <v>4171</v>
      </c>
      <c r="B3" s="32"/>
      <c r="C3" s="32"/>
      <c r="D3" s="32"/>
      <c r="E3" s="32"/>
      <c r="F3" s="32"/>
      <c r="G3" s="32"/>
      <c r="H3" s="32"/>
    </row>
    <row r="4" spans="1:8" ht="45" customHeight="1" x14ac:dyDescent="0.35">
      <c r="A4" s="34" t="s">
        <v>4290</v>
      </c>
      <c r="B4" s="32"/>
      <c r="C4" s="32"/>
      <c r="D4" s="32"/>
      <c r="E4" s="32"/>
      <c r="F4" s="32"/>
      <c r="G4" s="32"/>
      <c r="H4" s="32"/>
    </row>
    <row r="6" spans="1:8" ht="30" customHeight="1" x14ac:dyDescent="0.35">
      <c r="A6" s="4" t="s">
        <v>4172</v>
      </c>
      <c r="B6" s="4" t="s">
        <v>187</v>
      </c>
      <c r="C6" s="4" t="s">
        <v>188</v>
      </c>
      <c r="D6" s="4" t="s">
        <v>191</v>
      </c>
      <c r="E6" s="4" t="s">
        <v>190</v>
      </c>
      <c r="F6" s="4" t="s">
        <v>4173</v>
      </c>
      <c r="G6" s="4" t="s">
        <v>195</v>
      </c>
      <c r="H6" s="4" t="s">
        <v>100</v>
      </c>
    </row>
    <row r="7" spans="1:8" ht="49" customHeight="1" x14ac:dyDescent="0.35">
      <c r="A7" s="5">
        <v>1</v>
      </c>
      <c r="B7" s="5" t="s">
        <v>4174</v>
      </c>
      <c r="C7" s="5" t="s">
        <v>4175</v>
      </c>
      <c r="D7" s="5" t="s">
        <v>4176</v>
      </c>
      <c r="E7" s="5" t="s">
        <v>239</v>
      </c>
      <c r="F7" s="5" t="s">
        <v>4177</v>
      </c>
      <c r="G7" s="5" t="s">
        <v>4178</v>
      </c>
      <c r="H7" s="5" t="s">
        <v>4179</v>
      </c>
    </row>
    <row r="8" spans="1:8" ht="49" customHeight="1" x14ac:dyDescent="0.35">
      <c r="A8" s="5">
        <v>2</v>
      </c>
      <c r="B8" s="5" t="s">
        <v>4180</v>
      </c>
      <c r="C8" s="5" t="s">
        <v>4181</v>
      </c>
      <c r="D8" s="5" t="s">
        <v>4182</v>
      </c>
      <c r="E8" s="5" t="s">
        <v>198</v>
      </c>
      <c r="F8" s="5" t="s">
        <v>4177</v>
      </c>
      <c r="G8" s="5" t="s">
        <v>4291</v>
      </c>
      <c r="H8" s="5" t="s">
        <v>4292</v>
      </c>
    </row>
    <row r="9" spans="1:8" ht="49" customHeight="1" x14ac:dyDescent="0.35">
      <c r="A9" s="5">
        <v>3</v>
      </c>
      <c r="B9" s="5" t="s">
        <v>4183</v>
      </c>
      <c r="C9" s="5" t="s">
        <v>4184</v>
      </c>
      <c r="D9" s="5" t="s">
        <v>4185</v>
      </c>
      <c r="E9" s="5" t="s">
        <v>259</v>
      </c>
      <c r="F9" s="5" t="s">
        <v>4189</v>
      </c>
      <c r="G9" s="5" t="s">
        <v>4293</v>
      </c>
      <c r="H9" s="5" t="s">
        <v>4294</v>
      </c>
    </row>
    <row r="10" spans="1:8" ht="34" customHeight="1" x14ac:dyDescent="0.35">
      <c r="A10" s="5">
        <v>4</v>
      </c>
      <c r="B10" s="5" t="s">
        <v>4186</v>
      </c>
      <c r="C10" s="5" t="s">
        <v>4187</v>
      </c>
      <c r="D10" s="5" t="s">
        <v>4188</v>
      </c>
      <c r="E10" s="5" t="s">
        <v>259</v>
      </c>
      <c r="F10" s="5" t="s">
        <v>4189</v>
      </c>
      <c r="G10" s="5" t="s">
        <v>4190</v>
      </c>
      <c r="H10" s="5" t="s">
        <v>4191</v>
      </c>
    </row>
    <row r="11" spans="1:8" ht="49" customHeight="1" x14ac:dyDescent="0.35">
      <c r="A11" s="5">
        <v>5</v>
      </c>
      <c r="B11" s="5" t="s">
        <v>4192</v>
      </c>
      <c r="C11" s="5" t="s">
        <v>4193</v>
      </c>
      <c r="D11" s="5" t="s">
        <v>4194</v>
      </c>
      <c r="E11" s="5" t="s">
        <v>259</v>
      </c>
      <c r="F11" s="5" t="s">
        <v>4195</v>
      </c>
      <c r="G11" s="5" t="s">
        <v>4196</v>
      </c>
      <c r="H11" s="5" t="s">
        <v>4197</v>
      </c>
    </row>
    <row r="12" spans="1:8" ht="34" customHeight="1" x14ac:dyDescent="0.35">
      <c r="A12" s="5">
        <v>6</v>
      </c>
      <c r="B12" s="5" t="s">
        <v>4198</v>
      </c>
      <c r="C12" s="5" t="s">
        <v>4199</v>
      </c>
      <c r="D12" s="5" t="s">
        <v>4200</v>
      </c>
      <c r="E12" s="5" t="s">
        <v>259</v>
      </c>
      <c r="F12" s="5" t="s">
        <v>4189</v>
      </c>
      <c r="G12" s="5" t="s">
        <v>4201</v>
      </c>
      <c r="H12" s="5" t="s">
        <v>4202</v>
      </c>
    </row>
    <row r="13" spans="1:8" ht="34" customHeight="1" x14ac:dyDescent="0.35">
      <c r="A13" s="5">
        <v>7</v>
      </c>
      <c r="B13" s="5" t="s">
        <v>4203</v>
      </c>
      <c r="C13" s="5" t="s">
        <v>4204</v>
      </c>
      <c r="D13" s="5" t="s">
        <v>4205</v>
      </c>
      <c r="E13" s="5" t="s">
        <v>259</v>
      </c>
      <c r="F13" s="5" t="s">
        <v>4189</v>
      </c>
      <c r="G13" s="5" t="s">
        <v>4206</v>
      </c>
      <c r="H13" s="5" t="s">
        <v>4207</v>
      </c>
    </row>
    <row r="14" spans="1:8" ht="34" customHeight="1" x14ac:dyDescent="0.35">
      <c r="A14" s="5">
        <v>8</v>
      </c>
      <c r="B14" s="5" t="s">
        <v>4208</v>
      </c>
      <c r="C14" s="5" t="s">
        <v>4209</v>
      </c>
      <c r="D14" s="5" t="s">
        <v>4210</v>
      </c>
      <c r="E14" s="5" t="s">
        <v>259</v>
      </c>
      <c r="F14" s="5" t="s">
        <v>4177</v>
      </c>
      <c r="G14" s="5" t="s">
        <v>4211</v>
      </c>
      <c r="H14" s="5" t="s">
        <v>4212</v>
      </c>
    </row>
    <row r="15" spans="1:8" ht="49" customHeight="1" x14ac:dyDescent="0.35">
      <c r="A15" s="5">
        <v>9</v>
      </c>
      <c r="B15" s="5" t="s">
        <v>4213</v>
      </c>
      <c r="C15" s="5" t="s">
        <v>4214</v>
      </c>
      <c r="D15" s="5" t="s">
        <v>4215</v>
      </c>
      <c r="E15" s="5" t="s">
        <v>259</v>
      </c>
      <c r="F15" s="5" t="s">
        <v>4177</v>
      </c>
      <c r="G15" s="5" t="s">
        <v>4216</v>
      </c>
      <c r="H15" s="5" t="s">
        <v>4217</v>
      </c>
    </row>
    <row r="16" spans="1:8" ht="34" customHeight="1" x14ac:dyDescent="0.35">
      <c r="A16" s="5">
        <v>10</v>
      </c>
      <c r="B16" s="5" t="s">
        <v>4218</v>
      </c>
      <c r="C16" s="5" t="s">
        <v>4219</v>
      </c>
      <c r="D16" s="5" t="s">
        <v>4220</v>
      </c>
      <c r="E16" s="5" t="s">
        <v>259</v>
      </c>
      <c r="F16" s="5" t="s">
        <v>4195</v>
      </c>
      <c r="G16" s="5" t="s">
        <v>4221</v>
      </c>
      <c r="H16" s="5" t="s">
        <v>4222</v>
      </c>
    </row>
    <row r="17" spans="1:8" ht="34" customHeight="1" x14ac:dyDescent="0.35">
      <c r="A17" s="5">
        <v>11</v>
      </c>
      <c r="B17" s="5" t="s">
        <v>4223</v>
      </c>
      <c r="C17" s="5" t="s">
        <v>4224</v>
      </c>
      <c r="D17" s="5" t="s">
        <v>4225</v>
      </c>
      <c r="E17" s="5" t="s">
        <v>259</v>
      </c>
      <c r="F17" s="5" t="s">
        <v>4189</v>
      </c>
      <c r="G17" s="5" t="s">
        <v>4226</v>
      </c>
      <c r="H17" s="5" t="s">
        <v>4227</v>
      </c>
    </row>
    <row r="18" spans="1:8" ht="34" customHeight="1" x14ac:dyDescent="0.35">
      <c r="A18" s="5">
        <v>12</v>
      </c>
      <c r="B18" s="5" t="s">
        <v>4228</v>
      </c>
      <c r="C18" s="5" t="s">
        <v>4229</v>
      </c>
      <c r="D18" s="5" t="s">
        <v>4230</v>
      </c>
      <c r="E18" s="5" t="s">
        <v>198</v>
      </c>
      <c r="F18" s="5" t="s">
        <v>4189</v>
      </c>
      <c r="G18" s="5" t="s">
        <v>4231</v>
      </c>
      <c r="H18" s="5" t="s">
        <v>4232</v>
      </c>
    </row>
    <row r="19" spans="1:8" ht="64" customHeight="1" x14ac:dyDescent="0.35">
      <c r="A19" s="5">
        <v>13</v>
      </c>
      <c r="B19" s="5" t="s">
        <v>4233</v>
      </c>
      <c r="C19" s="5" t="s">
        <v>4234</v>
      </c>
      <c r="D19" s="5" t="s">
        <v>4235</v>
      </c>
      <c r="E19" s="5" t="s">
        <v>259</v>
      </c>
      <c r="F19" s="5" t="s">
        <v>4236</v>
      </c>
      <c r="G19" s="5" t="s">
        <v>4237</v>
      </c>
      <c r="H19" s="5" t="s">
        <v>4238</v>
      </c>
    </row>
    <row r="20" spans="1:8" ht="49" customHeight="1" x14ac:dyDescent="0.35">
      <c r="A20" s="5">
        <v>14</v>
      </c>
      <c r="B20" s="5" t="s">
        <v>4239</v>
      </c>
      <c r="C20" s="5" t="s">
        <v>4240</v>
      </c>
      <c r="D20" s="5" t="s">
        <v>4241</v>
      </c>
      <c r="E20" s="5" t="s">
        <v>239</v>
      </c>
      <c r="F20" s="5" t="s">
        <v>4177</v>
      </c>
      <c r="G20" s="5" t="s">
        <v>4242</v>
      </c>
      <c r="H20" s="5" t="s">
        <v>4243</v>
      </c>
    </row>
    <row r="21" spans="1:8" ht="34" customHeight="1" x14ac:dyDescent="0.35">
      <c r="A21" s="5">
        <v>15</v>
      </c>
      <c r="B21" s="5" t="s">
        <v>4244</v>
      </c>
      <c r="C21" s="5" t="s">
        <v>4245</v>
      </c>
      <c r="D21" s="5" t="s">
        <v>4246</v>
      </c>
      <c r="E21" s="5" t="s">
        <v>239</v>
      </c>
      <c r="F21" s="5" t="s">
        <v>4189</v>
      </c>
      <c r="G21" s="5" t="s">
        <v>4247</v>
      </c>
      <c r="H21" s="5" t="s">
        <v>4248</v>
      </c>
    </row>
    <row r="22" spans="1:8" ht="34" customHeight="1" x14ac:dyDescent="0.35">
      <c r="A22" s="5">
        <v>16</v>
      </c>
      <c r="B22" s="5" t="s">
        <v>4249</v>
      </c>
      <c r="C22" s="5" t="s">
        <v>4250</v>
      </c>
      <c r="D22" s="5" t="s">
        <v>4251</v>
      </c>
      <c r="E22" s="5" t="s">
        <v>259</v>
      </c>
      <c r="F22" s="5" t="s">
        <v>4189</v>
      </c>
      <c r="G22" s="5" t="s">
        <v>4252</v>
      </c>
      <c r="H22" s="5" t="s">
        <v>4253</v>
      </c>
    </row>
    <row r="23" spans="1:8" ht="34" customHeight="1" x14ac:dyDescent="0.35">
      <c r="A23" s="5">
        <v>17</v>
      </c>
      <c r="B23" s="5" t="s">
        <v>4254</v>
      </c>
      <c r="C23" s="5" t="s">
        <v>4255</v>
      </c>
      <c r="D23" s="5" t="s">
        <v>4256</v>
      </c>
      <c r="E23" s="5" t="s">
        <v>259</v>
      </c>
      <c r="F23" s="5" t="s">
        <v>4189</v>
      </c>
      <c r="G23" s="5" t="s">
        <v>4257</v>
      </c>
      <c r="H23" s="5" t="s">
        <v>4258</v>
      </c>
    </row>
    <row r="24" spans="1:8" ht="34" customHeight="1" x14ac:dyDescent="0.35">
      <c r="A24" s="5">
        <v>18</v>
      </c>
      <c r="B24" s="5" t="s">
        <v>4259</v>
      </c>
      <c r="C24" s="5" t="s">
        <v>4260</v>
      </c>
      <c r="D24" s="5" t="s">
        <v>4261</v>
      </c>
      <c r="E24" s="5" t="s">
        <v>198</v>
      </c>
      <c r="F24" s="5" t="s">
        <v>4189</v>
      </c>
      <c r="G24" s="5" t="s">
        <v>4262</v>
      </c>
      <c r="H24" s="5" t="s">
        <v>4263</v>
      </c>
    </row>
    <row r="25" spans="1:8" ht="34" customHeight="1" x14ac:dyDescent="0.35">
      <c r="A25" s="5">
        <v>19</v>
      </c>
      <c r="B25" s="5" t="s">
        <v>4264</v>
      </c>
      <c r="C25" s="5" t="s">
        <v>4265</v>
      </c>
      <c r="D25" s="5" t="s">
        <v>4266</v>
      </c>
      <c r="E25" s="5" t="s">
        <v>198</v>
      </c>
      <c r="F25" s="5" t="s">
        <v>4189</v>
      </c>
      <c r="G25" s="5" t="s">
        <v>4267</v>
      </c>
      <c r="H25" s="5" t="s">
        <v>4268</v>
      </c>
    </row>
    <row r="26" spans="1:8" ht="34" customHeight="1" x14ac:dyDescent="0.35">
      <c r="A26" s="5">
        <v>20</v>
      </c>
      <c r="B26" s="5" t="s">
        <v>4269</v>
      </c>
      <c r="C26" s="5" t="s">
        <v>4270</v>
      </c>
      <c r="D26" s="5" t="s">
        <v>4271</v>
      </c>
      <c r="E26" s="5" t="s">
        <v>198</v>
      </c>
      <c r="F26" s="5" t="s">
        <v>4189</v>
      </c>
      <c r="G26" s="5" t="s">
        <v>4272</v>
      </c>
      <c r="H26" s="5" t="s">
        <v>4273</v>
      </c>
    </row>
    <row r="27" spans="1:8" ht="34" customHeight="1" x14ac:dyDescent="0.35">
      <c r="A27" s="5">
        <v>21</v>
      </c>
      <c r="B27" s="5" t="s">
        <v>4295</v>
      </c>
      <c r="C27" s="5" t="s">
        <v>4296</v>
      </c>
      <c r="D27" s="5" t="s">
        <v>4297</v>
      </c>
      <c r="E27" s="5" t="s">
        <v>198</v>
      </c>
      <c r="F27" s="5" t="s">
        <v>4195</v>
      </c>
      <c r="G27" s="5" t="s">
        <v>4298</v>
      </c>
      <c r="H27" s="5" t="s">
        <v>4299</v>
      </c>
    </row>
    <row r="28" spans="1:8" ht="34" customHeight="1" x14ac:dyDescent="0.35">
      <c r="A28" s="5">
        <v>22</v>
      </c>
      <c r="B28" s="5" t="s">
        <v>4300</v>
      </c>
      <c r="C28" s="5" t="s">
        <v>4301</v>
      </c>
      <c r="D28" s="5" t="s">
        <v>4302</v>
      </c>
      <c r="E28" s="5" t="s">
        <v>198</v>
      </c>
      <c r="F28" s="5" t="s">
        <v>4189</v>
      </c>
      <c r="G28" s="5" t="s">
        <v>4303</v>
      </c>
      <c r="H28" s="5" t="s">
        <v>4304</v>
      </c>
    </row>
    <row r="29" spans="1:8" ht="34" customHeight="1" x14ac:dyDescent="0.35">
      <c r="A29" s="5">
        <v>23</v>
      </c>
      <c r="B29" s="5" t="s">
        <v>4305</v>
      </c>
      <c r="C29" s="5" t="s">
        <v>4306</v>
      </c>
      <c r="D29" s="5" t="s">
        <v>4307</v>
      </c>
      <c r="E29" s="5" t="s">
        <v>198</v>
      </c>
      <c r="F29" s="5" t="s">
        <v>4189</v>
      </c>
      <c r="G29" s="5" t="s">
        <v>4308</v>
      </c>
      <c r="H29" s="5" t="s">
        <v>4309</v>
      </c>
    </row>
    <row r="30" spans="1:8" ht="49" customHeight="1" x14ac:dyDescent="0.35">
      <c r="A30" s="5">
        <v>24</v>
      </c>
      <c r="B30" s="5" t="s">
        <v>4310</v>
      </c>
      <c r="C30" s="5" t="s">
        <v>4311</v>
      </c>
      <c r="D30" s="5" t="s">
        <v>4312</v>
      </c>
      <c r="E30" s="5" t="s">
        <v>259</v>
      </c>
      <c r="F30" s="5" t="s">
        <v>4177</v>
      </c>
      <c r="G30" s="5" t="s">
        <v>4313</v>
      </c>
      <c r="H30" s="5" t="s">
        <v>4314</v>
      </c>
    </row>
    <row r="31" spans="1:8" ht="34" customHeight="1" x14ac:dyDescent="0.35">
      <c r="A31" s="5">
        <v>25</v>
      </c>
      <c r="B31" s="5" t="s">
        <v>4315</v>
      </c>
      <c r="C31" s="5" t="s">
        <v>4316</v>
      </c>
      <c r="D31" s="5" t="s">
        <v>4317</v>
      </c>
      <c r="E31" s="5" t="s">
        <v>198</v>
      </c>
      <c r="F31" s="5" t="s">
        <v>4189</v>
      </c>
      <c r="G31" s="5" t="s">
        <v>4318</v>
      </c>
      <c r="H31" s="5" t="s">
        <v>4319</v>
      </c>
    </row>
    <row r="32" spans="1:8" ht="19" customHeight="1" x14ac:dyDescent="0.35">
      <c r="A32" s="5">
        <v>26</v>
      </c>
      <c r="B32" s="5" t="s">
        <v>4320</v>
      </c>
      <c r="C32" s="5" t="s">
        <v>4321</v>
      </c>
      <c r="D32" s="5" t="s">
        <v>4322</v>
      </c>
      <c r="E32" s="5" t="s">
        <v>198</v>
      </c>
      <c r="F32" s="5" t="s">
        <v>4189</v>
      </c>
      <c r="G32" s="5" t="s">
        <v>4323</v>
      </c>
      <c r="H32" s="5" t="s">
        <v>4324</v>
      </c>
    </row>
    <row r="33" spans="1:8" ht="34" customHeight="1" x14ac:dyDescent="0.35">
      <c r="A33" s="5">
        <v>27</v>
      </c>
      <c r="B33" s="5" t="s">
        <v>4325</v>
      </c>
      <c r="C33" s="5" t="s">
        <v>4326</v>
      </c>
      <c r="D33" s="5" t="s">
        <v>4327</v>
      </c>
      <c r="E33" s="5" t="s">
        <v>198</v>
      </c>
      <c r="F33" s="5" t="s">
        <v>4189</v>
      </c>
      <c r="G33" s="5" t="s">
        <v>4328</v>
      </c>
      <c r="H33" s="5" t="s">
        <v>4329</v>
      </c>
    </row>
    <row r="34" spans="1:8" ht="34" customHeight="1" x14ac:dyDescent="0.35">
      <c r="A34" s="5">
        <v>28</v>
      </c>
      <c r="B34" s="5" t="s">
        <v>4330</v>
      </c>
      <c r="C34" s="5" t="s">
        <v>4331</v>
      </c>
      <c r="D34" s="5" t="s">
        <v>4332</v>
      </c>
      <c r="E34" s="5" t="s">
        <v>198</v>
      </c>
      <c r="F34" s="5" t="s">
        <v>4177</v>
      </c>
      <c r="G34" s="5" t="s">
        <v>4333</v>
      </c>
      <c r="H34" s="5" t="s">
        <v>4334</v>
      </c>
    </row>
    <row r="35" spans="1:8" ht="49" customHeight="1" x14ac:dyDescent="0.35">
      <c r="A35" s="5">
        <v>29</v>
      </c>
      <c r="B35" s="5" t="s">
        <v>4335</v>
      </c>
      <c r="C35" s="5" t="s">
        <v>4336</v>
      </c>
      <c r="D35" s="5" t="s">
        <v>4337</v>
      </c>
      <c r="E35" s="5" t="s">
        <v>198</v>
      </c>
      <c r="F35" s="5" t="s">
        <v>4177</v>
      </c>
      <c r="G35" s="5" t="s">
        <v>4338</v>
      </c>
      <c r="H35" s="5" t="s">
        <v>4339</v>
      </c>
    </row>
    <row r="36" spans="1:8" ht="49" customHeight="1" x14ac:dyDescent="0.35">
      <c r="A36" s="5">
        <v>30</v>
      </c>
      <c r="B36" s="5" t="s">
        <v>4340</v>
      </c>
      <c r="C36" s="5" t="s">
        <v>4341</v>
      </c>
      <c r="D36" s="5" t="s">
        <v>4342</v>
      </c>
      <c r="E36" s="5" t="s">
        <v>239</v>
      </c>
      <c r="F36" s="5" t="s">
        <v>4195</v>
      </c>
      <c r="G36" s="5" t="s">
        <v>4343</v>
      </c>
      <c r="H36" s="5" t="s">
        <v>4344</v>
      </c>
    </row>
    <row r="37" spans="1:8" ht="34" customHeight="1" x14ac:dyDescent="0.35">
      <c r="A37" s="5">
        <v>31</v>
      </c>
      <c r="B37" s="5" t="s">
        <v>4345</v>
      </c>
      <c r="C37" s="5" t="s">
        <v>4346</v>
      </c>
      <c r="D37" s="5" t="s">
        <v>4347</v>
      </c>
      <c r="E37" s="5" t="s">
        <v>259</v>
      </c>
      <c r="F37" s="5" t="s">
        <v>4189</v>
      </c>
      <c r="G37" s="5" t="s">
        <v>4348</v>
      </c>
      <c r="H37" s="5" t="s">
        <v>4349</v>
      </c>
    </row>
    <row r="38" spans="1:8" ht="34" customHeight="1" x14ac:dyDescent="0.35">
      <c r="A38" s="5">
        <v>32</v>
      </c>
      <c r="B38" s="5" t="s">
        <v>4350</v>
      </c>
      <c r="C38" s="5" t="s">
        <v>4351</v>
      </c>
      <c r="D38" s="5" t="s">
        <v>4352</v>
      </c>
      <c r="E38" s="5" t="s">
        <v>259</v>
      </c>
      <c r="F38" s="5" t="s">
        <v>4195</v>
      </c>
      <c r="G38" s="5" t="s">
        <v>4353</v>
      </c>
      <c r="H38" s="5" t="s">
        <v>4354</v>
      </c>
    </row>
    <row r="39" spans="1:8" ht="34" customHeight="1" x14ac:dyDescent="0.35">
      <c r="A39" s="5">
        <v>33</v>
      </c>
      <c r="B39" s="5" t="s">
        <v>4355</v>
      </c>
      <c r="C39" s="5" t="s">
        <v>4356</v>
      </c>
      <c r="D39" s="5" t="s">
        <v>4357</v>
      </c>
      <c r="E39" s="5" t="s">
        <v>198</v>
      </c>
      <c r="F39" s="5" t="s">
        <v>4195</v>
      </c>
      <c r="G39" s="5" t="s">
        <v>4358</v>
      </c>
      <c r="H39" s="5" t="s">
        <v>4359</v>
      </c>
    </row>
    <row r="40" spans="1:8" ht="19" customHeight="1" x14ac:dyDescent="0.35">
      <c r="A40" s="5">
        <v>34</v>
      </c>
      <c r="B40" s="5" t="s">
        <v>4360</v>
      </c>
      <c r="C40" s="5" t="s">
        <v>4361</v>
      </c>
      <c r="D40" s="5" t="s">
        <v>4362</v>
      </c>
      <c r="E40" s="5" t="s">
        <v>198</v>
      </c>
      <c r="F40" s="5" t="s">
        <v>4189</v>
      </c>
      <c r="G40" s="5" t="s">
        <v>4363</v>
      </c>
      <c r="H40" s="5" t="s">
        <v>4364</v>
      </c>
    </row>
    <row r="41" spans="1:8" ht="34" customHeight="1" x14ac:dyDescent="0.35">
      <c r="A41" s="5">
        <v>35</v>
      </c>
      <c r="B41" s="5" t="s">
        <v>4365</v>
      </c>
      <c r="C41" s="5" t="s">
        <v>4366</v>
      </c>
      <c r="D41" s="5" t="s">
        <v>4367</v>
      </c>
      <c r="E41" s="5" t="s">
        <v>259</v>
      </c>
      <c r="F41" s="5" t="s">
        <v>4177</v>
      </c>
      <c r="G41" s="5" t="s">
        <v>4368</v>
      </c>
      <c r="H41" s="5" t="s">
        <v>4369</v>
      </c>
    </row>
    <row r="42" spans="1:8" ht="34" customHeight="1" x14ac:dyDescent="0.35">
      <c r="A42" s="5">
        <v>36</v>
      </c>
      <c r="B42" s="5" t="s">
        <v>4370</v>
      </c>
      <c r="C42" s="5" t="s">
        <v>4371</v>
      </c>
      <c r="D42" s="5" t="s">
        <v>4372</v>
      </c>
      <c r="E42" s="5" t="s">
        <v>198</v>
      </c>
      <c r="F42" s="5" t="s">
        <v>4177</v>
      </c>
      <c r="G42" s="5" t="s">
        <v>4373</v>
      </c>
      <c r="H42" s="5" t="s">
        <v>4374</v>
      </c>
    </row>
    <row r="43" spans="1:8" ht="34" customHeight="1" x14ac:dyDescent="0.35">
      <c r="A43" s="5">
        <v>37</v>
      </c>
      <c r="B43" s="5" t="s">
        <v>4375</v>
      </c>
      <c r="C43" s="5" t="s">
        <v>4376</v>
      </c>
      <c r="D43" s="5" t="s">
        <v>4377</v>
      </c>
      <c r="E43" s="5" t="s">
        <v>198</v>
      </c>
      <c r="F43" s="5" t="s">
        <v>4236</v>
      </c>
      <c r="G43" s="5" t="s">
        <v>4378</v>
      </c>
      <c r="H43" s="5" t="s">
        <v>4379</v>
      </c>
    </row>
    <row r="44" spans="1:8" ht="34" customHeight="1" x14ac:dyDescent="0.35">
      <c r="A44" s="5">
        <v>38</v>
      </c>
      <c r="B44" s="5" t="s">
        <v>4380</v>
      </c>
      <c r="C44" s="5" t="s">
        <v>4381</v>
      </c>
      <c r="D44" s="5" t="s">
        <v>4382</v>
      </c>
      <c r="E44" s="5" t="s">
        <v>259</v>
      </c>
      <c r="F44" s="5" t="s">
        <v>4189</v>
      </c>
      <c r="G44" s="5" t="s">
        <v>4383</v>
      </c>
      <c r="H44" s="5" t="s">
        <v>4384</v>
      </c>
    </row>
    <row r="45" spans="1:8" ht="34" customHeight="1" x14ac:dyDescent="0.35">
      <c r="A45" s="5">
        <v>39</v>
      </c>
      <c r="B45" s="5" t="s">
        <v>4385</v>
      </c>
      <c r="C45" s="5" t="s">
        <v>4386</v>
      </c>
      <c r="D45" s="5" t="s">
        <v>4387</v>
      </c>
      <c r="E45" s="5" t="s">
        <v>239</v>
      </c>
      <c r="F45" s="5" t="s">
        <v>4189</v>
      </c>
      <c r="G45" s="5" t="s">
        <v>4388</v>
      </c>
      <c r="H45" s="5" t="s">
        <v>4389</v>
      </c>
    </row>
    <row r="46" spans="1:8" ht="34" customHeight="1" x14ac:dyDescent="0.35">
      <c r="A46" s="5">
        <v>40</v>
      </c>
      <c r="B46" s="5" t="s">
        <v>4390</v>
      </c>
      <c r="C46" s="5" t="s">
        <v>4391</v>
      </c>
      <c r="D46" s="5" t="s">
        <v>4392</v>
      </c>
      <c r="E46" s="5" t="s">
        <v>198</v>
      </c>
      <c r="F46" s="5" t="s">
        <v>4195</v>
      </c>
      <c r="G46" s="5" t="s">
        <v>4393</v>
      </c>
      <c r="H46" s="5" t="s">
        <v>4394</v>
      </c>
    </row>
    <row r="47" spans="1:8" ht="34" customHeight="1" x14ac:dyDescent="0.35">
      <c r="A47" s="5">
        <v>41</v>
      </c>
      <c r="B47" s="5" t="s">
        <v>4395</v>
      </c>
      <c r="C47" s="5" t="s">
        <v>4396</v>
      </c>
      <c r="D47" s="5" t="s">
        <v>4397</v>
      </c>
      <c r="E47" s="5" t="s">
        <v>239</v>
      </c>
      <c r="F47" s="5" t="s">
        <v>4189</v>
      </c>
      <c r="G47" s="5" t="s">
        <v>4398</v>
      </c>
      <c r="H47" s="5" t="s">
        <v>4399</v>
      </c>
    </row>
    <row r="48" spans="1:8" ht="19" customHeight="1" x14ac:dyDescent="0.35">
      <c r="A48" s="5">
        <v>42</v>
      </c>
      <c r="B48" s="5" t="s">
        <v>4400</v>
      </c>
      <c r="C48" s="5" t="s">
        <v>4401</v>
      </c>
      <c r="D48" s="5" t="s">
        <v>4402</v>
      </c>
      <c r="E48" s="5" t="s">
        <v>239</v>
      </c>
      <c r="F48" s="5" t="s">
        <v>4189</v>
      </c>
      <c r="G48" s="5" t="s">
        <v>4403</v>
      </c>
      <c r="H48" s="5" t="s">
        <v>4404</v>
      </c>
    </row>
    <row r="49" spans="1:8" ht="34" customHeight="1" x14ac:dyDescent="0.35">
      <c r="A49" s="5">
        <v>43</v>
      </c>
      <c r="B49" s="5" t="s">
        <v>4405</v>
      </c>
      <c r="C49" s="5" t="s">
        <v>4406</v>
      </c>
      <c r="D49" s="5" t="s">
        <v>4407</v>
      </c>
      <c r="E49" s="5" t="s">
        <v>198</v>
      </c>
      <c r="F49" s="5" t="s">
        <v>4189</v>
      </c>
      <c r="G49" s="5" t="s">
        <v>4408</v>
      </c>
      <c r="H49" s="5" t="s">
        <v>4409</v>
      </c>
    </row>
    <row r="50" spans="1:8" ht="34" customHeight="1" x14ac:dyDescent="0.35">
      <c r="A50" s="5">
        <v>44</v>
      </c>
      <c r="B50" s="5" t="s">
        <v>4410</v>
      </c>
      <c r="C50" s="5" t="s">
        <v>4411</v>
      </c>
      <c r="D50" s="5" t="s">
        <v>4412</v>
      </c>
      <c r="E50" s="5" t="s">
        <v>198</v>
      </c>
      <c r="F50" s="5" t="s">
        <v>4189</v>
      </c>
      <c r="G50" s="5" t="s">
        <v>4413</v>
      </c>
      <c r="H50" s="5" t="s">
        <v>4414</v>
      </c>
    </row>
    <row r="51" spans="1:8" ht="34" customHeight="1" x14ac:dyDescent="0.35">
      <c r="A51" s="5">
        <v>45</v>
      </c>
      <c r="B51" s="5" t="s">
        <v>4415</v>
      </c>
      <c r="C51" s="5" t="s">
        <v>4416</v>
      </c>
      <c r="D51" s="5" t="s">
        <v>4417</v>
      </c>
      <c r="E51" s="5" t="s">
        <v>259</v>
      </c>
      <c r="F51" s="5" t="s">
        <v>4195</v>
      </c>
      <c r="G51" s="5" t="s">
        <v>4418</v>
      </c>
      <c r="H51" s="5" t="s">
        <v>4419</v>
      </c>
    </row>
    <row r="52" spans="1:8" ht="34" customHeight="1" x14ac:dyDescent="0.35">
      <c r="A52" s="5">
        <v>46</v>
      </c>
      <c r="B52" s="5" t="s">
        <v>4420</v>
      </c>
      <c r="C52" s="5" t="s">
        <v>4421</v>
      </c>
      <c r="D52" s="5" t="s">
        <v>4422</v>
      </c>
      <c r="E52" s="5" t="s">
        <v>198</v>
      </c>
      <c r="F52" s="5" t="s">
        <v>4177</v>
      </c>
      <c r="G52" s="5" t="s">
        <v>4423</v>
      </c>
      <c r="H52" s="5" t="s">
        <v>4424</v>
      </c>
    </row>
    <row r="53" spans="1:8" ht="34" customHeight="1" x14ac:dyDescent="0.35">
      <c r="A53" s="5">
        <v>47</v>
      </c>
      <c r="B53" s="5" t="s">
        <v>4425</v>
      </c>
      <c r="C53" s="5" t="s">
        <v>4426</v>
      </c>
      <c r="D53" s="5" t="s">
        <v>4427</v>
      </c>
      <c r="E53" s="5" t="s">
        <v>259</v>
      </c>
      <c r="F53" s="5" t="s">
        <v>4177</v>
      </c>
      <c r="G53" s="5" t="s">
        <v>4428</v>
      </c>
      <c r="H53" s="5" t="s">
        <v>4429</v>
      </c>
    </row>
    <row r="54" spans="1:8" ht="34" customHeight="1" x14ac:dyDescent="0.35">
      <c r="A54" s="5">
        <v>48</v>
      </c>
      <c r="B54" s="5" t="s">
        <v>4430</v>
      </c>
      <c r="C54" s="5" t="s">
        <v>4431</v>
      </c>
      <c r="D54" s="5" t="s">
        <v>4432</v>
      </c>
      <c r="E54" s="5" t="s">
        <v>198</v>
      </c>
      <c r="F54" s="5" t="s">
        <v>4195</v>
      </c>
      <c r="G54" s="5" t="s">
        <v>4433</v>
      </c>
      <c r="H54" s="5" t="s">
        <v>4434</v>
      </c>
    </row>
    <row r="55" spans="1:8" ht="19" customHeight="1" x14ac:dyDescent="0.35">
      <c r="A55" s="5">
        <v>49</v>
      </c>
      <c r="B55" s="5" t="s">
        <v>4435</v>
      </c>
      <c r="C55" s="5" t="s">
        <v>4436</v>
      </c>
      <c r="D55" s="5" t="s">
        <v>4437</v>
      </c>
      <c r="E55" s="5" t="s">
        <v>259</v>
      </c>
      <c r="F55" s="5" t="s">
        <v>4189</v>
      </c>
      <c r="G55" s="5" t="s">
        <v>4438</v>
      </c>
      <c r="H55" s="5" t="s">
        <v>4439</v>
      </c>
    </row>
    <row r="56" spans="1:8" ht="34" customHeight="1" x14ac:dyDescent="0.35">
      <c r="A56" s="5">
        <v>50</v>
      </c>
      <c r="B56" s="5" t="s">
        <v>4440</v>
      </c>
      <c r="C56" s="5" t="s">
        <v>4441</v>
      </c>
      <c r="D56" s="5" t="s">
        <v>4442</v>
      </c>
      <c r="E56" s="5" t="s">
        <v>198</v>
      </c>
      <c r="F56" s="5" t="s">
        <v>4177</v>
      </c>
      <c r="G56" s="5" t="s">
        <v>4443</v>
      </c>
      <c r="H56" s="5" t="s">
        <v>4444</v>
      </c>
    </row>
    <row r="57" spans="1:8" ht="34" customHeight="1" x14ac:dyDescent="0.35">
      <c r="A57" s="5">
        <v>51</v>
      </c>
      <c r="B57" s="5" t="s">
        <v>4445</v>
      </c>
      <c r="C57" s="5" t="s">
        <v>4446</v>
      </c>
      <c r="D57" s="5" t="s">
        <v>4447</v>
      </c>
      <c r="E57" s="5" t="s">
        <v>259</v>
      </c>
      <c r="F57" s="5" t="s">
        <v>4195</v>
      </c>
      <c r="G57" s="5" t="s">
        <v>4221</v>
      </c>
      <c r="H57" s="5" t="s">
        <v>4448</v>
      </c>
    </row>
    <row r="58" spans="1:8" ht="19" customHeight="1" x14ac:dyDescent="0.35">
      <c r="A58" s="5">
        <v>52</v>
      </c>
      <c r="B58" s="5" t="s">
        <v>4449</v>
      </c>
      <c r="C58" s="5" t="s">
        <v>4450</v>
      </c>
      <c r="D58" s="5" t="s">
        <v>4451</v>
      </c>
      <c r="E58" s="5" t="s">
        <v>198</v>
      </c>
      <c r="F58" s="5" t="s">
        <v>4189</v>
      </c>
      <c r="G58" s="5" t="s">
        <v>4452</v>
      </c>
      <c r="H58" s="5" t="s">
        <v>4453</v>
      </c>
    </row>
    <row r="59" spans="1:8" ht="34" customHeight="1" x14ac:dyDescent="0.35">
      <c r="A59" s="5">
        <v>53</v>
      </c>
      <c r="B59" s="5" t="s">
        <v>4454</v>
      </c>
      <c r="C59" s="5" t="s">
        <v>4455</v>
      </c>
      <c r="D59" s="5" t="s">
        <v>4456</v>
      </c>
      <c r="E59" s="5" t="s">
        <v>239</v>
      </c>
      <c r="F59" s="5" t="s">
        <v>4195</v>
      </c>
      <c r="G59" s="5" t="s">
        <v>4221</v>
      </c>
      <c r="H59" s="5" t="s">
        <v>4457</v>
      </c>
    </row>
    <row r="60" spans="1:8" ht="19" customHeight="1" x14ac:dyDescent="0.35">
      <c r="A60" s="5">
        <v>54</v>
      </c>
      <c r="B60" s="5" t="s">
        <v>4458</v>
      </c>
      <c r="C60" s="5" t="s">
        <v>4459</v>
      </c>
      <c r="D60" s="5" t="s">
        <v>4460</v>
      </c>
      <c r="E60" s="5" t="s">
        <v>198</v>
      </c>
      <c r="F60" s="5" t="s">
        <v>4189</v>
      </c>
      <c r="G60" s="5" t="s">
        <v>4461</v>
      </c>
      <c r="H60" s="5" t="s">
        <v>4462</v>
      </c>
    </row>
    <row r="61" spans="1:8" ht="34" customHeight="1" x14ac:dyDescent="0.35">
      <c r="A61" s="5">
        <v>55</v>
      </c>
      <c r="B61" s="5" t="s">
        <v>4463</v>
      </c>
      <c r="C61" s="5" t="s">
        <v>4464</v>
      </c>
      <c r="D61" s="5" t="s">
        <v>4465</v>
      </c>
      <c r="E61" s="5" t="s">
        <v>386</v>
      </c>
      <c r="F61" s="5" t="s">
        <v>4177</v>
      </c>
      <c r="G61" s="5" t="s">
        <v>4466</v>
      </c>
      <c r="H61" s="5" t="s">
        <v>4467</v>
      </c>
    </row>
    <row r="62" spans="1:8" ht="34" customHeight="1" x14ac:dyDescent="0.35">
      <c r="A62" s="5">
        <v>56</v>
      </c>
      <c r="B62" s="5" t="s">
        <v>4468</v>
      </c>
      <c r="C62" s="5" t="s">
        <v>4469</v>
      </c>
      <c r="D62" s="5" t="s">
        <v>4470</v>
      </c>
      <c r="E62" s="5" t="s">
        <v>259</v>
      </c>
      <c r="F62" s="5" t="s">
        <v>4177</v>
      </c>
      <c r="G62" s="5" t="s">
        <v>4471</v>
      </c>
      <c r="H62" s="5" t="s">
        <v>4472</v>
      </c>
    </row>
    <row r="63" spans="1:8" ht="34" customHeight="1" x14ac:dyDescent="0.35">
      <c r="A63" s="5">
        <v>57</v>
      </c>
      <c r="B63" s="5" t="s">
        <v>4473</v>
      </c>
      <c r="C63" s="5" t="s">
        <v>4474</v>
      </c>
      <c r="D63" s="5" t="s">
        <v>4475</v>
      </c>
      <c r="E63" s="5" t="s">
        <v>198</v>
      </c>
      <c r="F63" s="5" t="s">
        <v>4189</v>
      </c>
      <c r="G63" s="5" t="s">
        <v>4476</v>
      </c>
      <c r="H63" s="5" t="s">
        <v>4477</v>
      </c>
    </row>
    <row r="64" spans="1:8" ht="19" customHeight="1" x14ac:dyDescent="0.35">
      <c r="A64" s="5">
        <v>58</v>
      </c>
      <c r="B64" s="5" t="s">
        <v>4478</v>
      </c>
      <c r="C64" s="5" t="s">
        <v>4479</v>
      </c>
      <c r="D64" s="5" t="s">
        <v>4480</v>
      </c>
      <c r="E64" s="5" t="s">
        <v>198</v>
      </c>
      <c r="F64" s="5" t="s">
        <v>4189</v>
      </c>
      <c r="G64" s="5" t="s">
        <v>4481</v>
      </c>
      <c r="H64" s="5" t="s">
        <v>4482</v>
      </c>
    </row>
    <row r="65" spans="1:8" ht="49" customHeight="1" x14ac:dyDescent="0.35">
      <c r="A65" s="5">
        <v>59</v>
      </c>
      <c r="B65" s="5" t="s">
        <v>4483</v>
      </c>
      <c r="C65" s="5" t="s">
        <v>4484</v>
      </c>
      <c r="D65" s="5" t="s">
        <v>4485</v>
      </c>
      <c r="E65" s="5" t="s">
        <v>259</v>
      </c>
      <c r="F65" s="5" t="s">
        <v>4195</v>
      </c>
      <c r="G65" s="5" t="s">
        <v>4486</v>
      </c>
      <c r="H65" s="5" t="s">
        <v>4487</v>
      </c>
    </row>
    <row r="66" spans="1:8" ht="34" customHeight="1" x14ac:dyDescent="0.35">
      <c r="A66" s="5">
        <v>60</v>
      </c>
      <c r="B66" s="5" t="s">
        <v>117</v>
      </c>
      <c r="C66" s="5" t="s">
        <v>4488</v>
      </c>
      <c r="D66" s="5" t="s">
        <v>4489</v>
      </c>
      <c r="E66" s="5" t="s">
        <v>198</v>
      </c>
      <c r="F66" s="5" t="s">
        <v>4189</v>
      </c>
      <c r="G66" s="5" t="s">
        <v>4490</v>
      </c>
      <c r="H66" s="5" t="s">
        <v>117</v>
      </c>
    </row>
    <row r="67" spans="1:8" ht="34" customHeight="1" x14ac:dyDescent="0.35">
      <c r="A67" s="5">
        <v>61</v>
      </c>
      <c r="B67" s="5" t="s">
        <v>4491</v>
      </c>
      <c r="C67" s="5" t="s">
        <v>4492</v>
      </c>
      <c r="D67" s="5" t="s">
        <v>4493</v>
      </c>
      <c r="E67" s="5" t="s">
        <v>259</v>
      </c>
      <c r="F67" s="5" t="s">
        <v>4195</v>
      </c>
      <c r="G67" s="5" t="s">
        <v>4494</v>
      </c>
      <c r="H67" s="5" t="s">
        <v>4495</v>
      </c>
    </row>
    <row r="68" spans="1:8" ht="34" customHeight="1" x14ac:dyDescent="0.35">
      <c r="A68" s="5">
        <v>62</v>
      </c>
      <c r="B68" s="5" t="s">
        <v>4496</v>
      </c>
      <c r="C68" s="5" t="s">
        <v>4497</v>
      </c>
      <c r="D68" s="5" t="s">
        <v>4498</v>
      </c>
      <c r="E68" s="5" t="s">
        <v>198</v>
      </c>
      <c r="F68" s="5" t="s">
        <v>4189</v>
      </c>
      <c r="G68" s="5" t="s">
        <v>4499</v>
      </c>
      <c r="H68" s="5" t="s">
        <v>4500</v>
      </c>
    </row>
    <row r="69" spans="1:8" ht="19" customHeight="1" x14ac:dyDescent="0.35">
      <c r="A69" s="5">
        <v>63</v>
      </c>
      <c r="B69" s="5" t="s">
        <v>4501</v>
      </c>
      <c r="C69" s="5" t="s">
        <v>4502</v>
      </c>
      <c r="D69" s="5" t="s">
        <v>4503</v>
      </c>
      <c r="E69" s="5" t="s">
        <v>198</v>
      </c>
      <c r="F69" s="5" t="s">
        <v>4189</v>
      </c>
      <c r="G69" s="5" t="s">
        <v>4504</v>
      </c>
      <c r="H69" s="5" t="s">
        <v>4505</v>
      </c>
    </row>
    <row r="70" spans="1:8" ht="34" customHeight="1" x14ac:dyDescent="0.35">
      <c r="A70" s="5">
        <v>64</v>
      </c>
      <c r="B70" s="5" t="s">
        <v>4506</v>
      </c>
      <c r="C70" s="5" t="s">
        <v>4507</v>
      </c>
      <c r="D70" s="5" t="s">
        <v>4508</v>
      </c>
      <c r="E70" s="5" t="s">
        <v>386</v>
      </c>
      <c r="F70" s="5" t="s">
        <v>4189</v>
      </c>
      <c r="G70" s="5" t="s">
        <v>4509</v>
      </c>
      <c r="H70" s="5" t="s">
        <v>4510</v>
      </c>
    </row>
    <row r="71" spans="1:8" ht="34" customHeight="1" x14ac:dyDescent="0.35">
      <c r="A71" s="5">
        <v>65</v>
      </c>
      <c r="B71" s="5" t="s">
        <v>4511</v>
      </c>
      <c r="C71" s="5" t="s">
        <v>4512</v>
      </c>
      <c r="D71" s="5" t="s">
        <v>4513</v>
      </c>
      <c r="E71" s="5" t="s">
        <v>198</v>
      </c>
      <c r="F71" s="5" t="s">
        <v>4195</v>
      </c>
      <c r="G71" s="5" t="s">
        <v>4514</v>
      </c>
      <c r="H71" s="5" t="s">
        <v>4515</v>
      </c>
    </row>
    <row r="72" spans="1:8" ht="34" customHeight="1" x14ac:dyDescent="0.35">
      <c r="A72" s="5">
        <v>66</v>
      </c>
      <c r="B72" s="5" t="s">
        <v>4516</v>
      </c>
      <c r="C72" s="5" t="s">
        <v>4517</v>
      </c>
      <c r="D72" s="5" t="s">
        <v>4518</v>
      </c>
      <c r="E72" s="5" t="s">
        <v>198</v>
      </c>
      <c r="F72" s="5" t="s">
        <v>4189</v>
      </c>
      <c r="G72" s="5" t="s">
        <v>4519</v>
      </c>
      <c r="H72" s="5" t="s">
        <v>4520</v>
      </c>
    </row>
    <row r="73" spans="1:8" ht="49" customHeight="1" x14ac:dyDescent="0.35">
      <c r="A73" s="5">
        <v>67</v>
      </c>
      <c r="B73" s="5" t="s">
        <v>2419</v>
      </c>
      <c r="C73" s="5" t="s">
        <v>2420</v>
      </c>
      <c r="D73" s="5" t="s">
        <v>4521</v>
      </c>
      <c r="E73" s="5" t="s">
        <v>239</v>
      </c>
      <c r="F73" s="5" t="s">
        <v>4236</v>
      </c>
      <c r="G73" s="5" t="s">
        <v>4522</v>
      </c>
      <c r="H73" s="5" t="s">
        <v>4523</v>
      </c>
    </row>
    <row r="74" spans="1:8" ht="34" customHeight="1" x14ac:dyDescent="0.35">
      <c r="A74" s="5">
        <v>68</v>
      </c>
      <c r="B74" s="5" t="s">
        <v>4524</v>
      </c>
      <c r="C74" s="5" t="s">
        <v>4525</v>
      </c>
      <c r="D74" s="5" t="s">
        <v>4526</v>
      </c>
      <c r="E74" s="5" t="s">
        <v>259</v>
      </c>
      <c r="F74" s="5" t="s">
        <v>4189</v>
      </c>
      <c r="G74" s="5" t="s">
        <v>4527</v>
      </c>
      <c r="H74" s="5" t="s">
        <v>4528</v>
      </c>
    </row>
    <row r="75" spans="1:8" ht="34" customHeight="1" x14ac:dyDescent="0.35">
      <c r="A75" s="5">
        <v>69</v>
      </c>
      <c r="B75" s="5" t="s">
        <v>4529</v>
      </c>
      <c r="C75" s="5" t="s">
        <v>4530</v>
      </c>
      <c r="D75" s="5" t="s">
        <v>4531</v>
      </c>
      <c r="E75" s="5" t="s">
        <v>198</v>
      </c>
      <c r="F75" s="5" t="s">
        <v>4189</v>
      </c>
      <c r="G75" s="5" t="s">
        <v>4532</v>
      </c>
      <c r="H75" s="5" t="s">
        <v>4533</v>
      </c>
    </row>
    <row r="76" spans="1:8" ht="34" customHeight="1" x14ac:dyDescent="0.35">
      <c r="A76" s="5">
        <v>70</v>
      </c>
      <c r="B76" s="5" t="s">
        <v>117</v>
      </c>
      <c r="C76" s="5" t="s">
        <v>4488</v>
      </c>
      <c r="D76" s="5" t="s">
        <v>4534</v>
      </c>
      <c r="E76" s="5" t="s">
        <v>198</v>
      </c>
      <c r="F76" s="5" t="s">
        <v>4189</v>
      </c>
      <c r="G76" s="5" t="s">
        <v>4413</v>
      </c>
      <c r="H76" s="5" t="s">
        <v>117</v>
      </c>
    </row>
    <row r="77" spans="1:8" ht="34" customHeight="1" x14ac:dyDescent="0.35">
      <c r="A77" s="5">
        <v>71</v>
      </c>
      <c r="B77" s="5" t="s">
        <v>4535</v>
      </c>
      <c r="C77" s="5" t="s">
        <v>4536</v>
      </c>
      <c r="D77" s="5" t="s">
        <v>4537</v>
      </c>
      <c r="E77" s="5" t="s">
        <v>259</v>
      </c>
      <c r="F77" s="5" t="s">
        <v>4177</v>
      </c>
      <c r="G77" s="5" t="s">
        <v>4538</v>
      </c>
      <c r="H77" s="5" t="s">
        <v>4539</v>
      </c>
    </row>
    <row r="78" spans="1:8" ht="19" customHeight="1" x14ac:dyDescent="0.35">
      <c r="A78" s="5">
        <v>72</v>
      </c>
      <c r="B78" s="5" t="s">
        <v>4540</v>
      </c>
      <c r="C78" s="5" t="s">
        <v>4541</v>
      </c>
      <c r="D78" s="5" t="s">
        <v>4542</v>
      </c>
      <c r="E78" s="5" t="s">
        <v>239</v>
      </c>
      <c r="F78" s="5" t="s">
        <v>4189</v>
      </c>
      <c r="G78" s="5" t="s">
        <v>4543</v>
      </c>
      <c r="H78" s="5" t="s">
        <v>4544</v>
      </c>
    </row>
    <row r="79" spans="1:8" ht="34" customHeight="1" x14ac:dyDescent="0.35">
      <c r="A79" s="5">
        <v>73</v>
      </c>
      <c r="B79" s="5" t="s">
        <v>4545</v>
      </c>
      <c r="C79" s="5" t="s">
        <v>4546</v>
      </c>
      <c r="D79" s="5" t="s">
        <v>4547</v>
      </c>
      <c r="E79" s="5" t="s">
        <v>239</v>
      </c>
      <c r="F79" s="5" t="s">
        <v>4189</v>
      </c>
      <c r="G79" s="5" t="s">
        <v>4476</v>
      </c>
      <c r="H79" s="5" t="s">
        <v>4548</v>
      </c>
    </row>
    <row r="80" spans="1:8" ht="34" customHeight="1" x14ac:dyDescent="0.35">
      <c r="A80" s="5">
        <v>74</v>
      </c>
      <c r="B80" s="5" t="s">
        <v>4549</v>
      </c>
      <c r="C80" s="5" t="s">
        <v>4550</v>
      </c>
      <c r="D80" s="5" t="s">
        <v>4551</v>
      </c>
      <c r="E80" s="5" t="s">
        <v>198</v>
      </c>
      <c r="F80" s="5" t="s">
        <v>4189</v>
      </c>
      <c r="G80" s="5" t="s">
        <v>4552</v>
      </c>
      <c r="H80" s="5" t="s">
        <v>4553</v>
      </c>
    </row>
    <row r="81" spans="1:8" ht="34" customHeight="1" x14ac:dyDescent="0.35">
      <c r="A81" s="5">
        <v>75</v>
      </c>
      <c r="B81" s="5" t="s">
        <v>4554</v>
      </c>
      <c r="C81" s="5" t="s">
        <v>4555</v>
      </c>
      <c r="D81" s="5" t="s">
        <v>4556</v>
      </c>
      <c r="E81" s="5" t="s">
        <v>259</v>
      </c>
      <c r="F81" s="5" t="s">
        <v>4189</v>
      </c>
      <c r="G81" s="5" t="s">
        <v>4557</v>
      </c>
      <c r="H81" s="5" t="s">
        <v>4558</v>
      </c>
    </row>
    <row r="82" spans="1:8" ht="34" customHeight="1" x14ac:dyDescent="0.35">
      <c r="A82" s="5">
        <v>76</v>
      </c>
      <c r="B82" s="5" t="s">
        <v>4559</v>
      </c>
      <c r="C82" s="5" t="s">
        <v>4560</v>
      </c>
      <c r="D82" s="5" t="s">
        <v>4561</v>
      </c>
      <c r="E82" s="5" t="s">
        <v>198</v>
      </c>
      <c r="F82" s="5" t="s">
        <v>4177</v>
      </c>
      <c r="G82" s="5" t="s">
        <v>4562</v>
      </c>
      <c r="H82" s="5" t="s">
        <v>4563</v>
      </c>
    </row>
    <row r="83" spans="1:8" ht="34" customHeight="1" x14ac:dyDescent="0.35">
      <c r="A83" s="5">
        <v>77</v>
      </c>
      <c r="B83" s="5" t="s">
        <v>4564</v>
      </c>
      <c r="C83" s="5" t="s">
        <v>4565</v>
      </c>
      <c r="D83" s="5" t="s">
        <v>4566</v>
      </c>
      <c r="E83" s="5" t="s">
        <v>198</v>
      </c>
      <c r="F83" s="5" t="s">
        <v>4177</v>
      </c>
      <c r="G83" s="5" t="s">
        <v>4567</v>
      </c>
      <c r="H83" s="5" t="s">
        <v>4568</v>
      </c>
    </row>
    <row r="84" spans="1:8" ht="34" customHeight="1" x14ac:dyDescent="0.35">
      <c r="A84" s="5">
        <v>78</v>
      </c>
      <c r="B84" s="5" t="s">
        <v>4569</v>
      </c>
      <c r="C84" s="5" t="s">
        <v>4570</v>
      </c>
      <c r="D84" s="5" t="s">
        <v>4571</v>
      </c>
      <c r="E84" s="5" t="s">
        <v>259</v>
      </c>
      <c r="F84" s="5" t="s">
        <v>4195</v>
      </c>
      <c r="G84" s="5" t="s">
        <v>4221</v>
      </c>
      <c r="H84" s="5" t="s">
        <v>4572</v>
      </c>
    </row>
    <row r="85" spans="1:8" ht="49" customHeight="1" x14ac:dyDescent="0.35">
      <c r="A85" s="5">
        <v>79</v>
      </c>
      <c r="B85" s="5" t="s">
        <v>4573</v>
      </c>
      <c r="C85" s="5" t="s">
        <v>4574</v>
      </c>
      <c r="D85" s="5" t="s">
        <v>4575</v>
      </c>
      <c r="E85" s="5" t="s">
        <v>198</v>
      </c>
      <c r="F85" s="5" t="s">
        <v>4177</v>
      </c>
      <c r="G85" s="5" t="s">
        <v>4576</v>
      </c>
      <c r="H85" s="5" t="s">
        <v>4577</v>
      </c>
    </row>
    <row r="86" spans="1:8" ht="19" customHeight="1" x14ac:dyDescent="0.35">
      <c r="A86" s="5">
        <v>80</v>
      </c>
      <c r="B86" s="5" t="s">
        <v>4578</v>
      </c>
      <c r="C86" s="5" t="s">
        <v>4579</v>
      </c>
      <c r="D86" s="5" t="s">
        <v>4580</v>
      </c>
      <c r="E86" s="5" t="s">
        <v>198</v>
      </c>
      <c r="F86" s="5" t="s">
        <v>4189</v>
      </c>
      <c r="G86" s="5" t="s">
        <v>4581</v>
      </c>
      <c r="H86" s="5" t="s">
        <v>4582</v>
      </c>
    </row>
    <row r="87" spans="1:8" ht="34" customHeight="1" x14ac:dyDescent="0.35">
      <c r="A87" s="5">
        <v>81</v>
      </c>
      <c r="B87" s="5" t="s">
        <v>4583</v>
      </c>
      <c r="C87" s="5" t="s">
        <v>4584</v>
      </c>
      <c r="D87" s="5" t="s">
        <v>4585</v>
      </c>
      <c r="E87" s="5" t="s">
        <v>259</v>
      </c>
      <c r="F87" s="5" t="s">
        <v>4189</v>
      </c>
      <c r="G87" s="5" t="s">
        <v>4476</v>
      </c>
      <c r="H87" s="5" t="s">
        <v>4586</v>
      </c>
    </row>
    <row r="88" spans="1:8" ht="34" customHeight="1" x14ac:dyDescent="0.35">
      <c r="A88" s="5">
        <v>82</v>
      </c>
      <c r="B88" s="5" t="s">
        <v>4587</v>
      </c>
      <c r="C88" s="5" t="s">
        <v>4588</v>
      </c>
      <c r="D88" s="5" t="s">
        <v>4589</v>
      </c>
      <c r="E88" s="5" t="s">
        <v>239</v>
      </c>
      <c r="F88" s="5" t="s">
        <v>4195</v>
      </c>
      <c r="G88" s="5" t="s">
        <v>4221</v>
      </c>
      <c r="H88" s="5" t="s">
        <v>4590</v>
      </c>
    </row>
    <row r="89" spans="1:8" ht="34" customHeight="1" x14ac:dyDescent="0.35">
      <c r="A89" s="5">
        <v>83</v>
      </c>
      <c r="B89" s="5" t="s">
        <v>4591</v>
      </c>
      <c r="C89" s="5" t="s">
        <v>4592</v>
      </c>
      <c r="D89" s="5" t="s">
        <v>4593</v>
      </c>
      <c r="E89" s="5" t="s">
        <v>259</v>
      </c>
      <c r="F89" s="5" t="s">
        <v>4236</v>
      </c>
      <c r="G89" s="5" t="s">
        <v>4594</v>
      </c>
      <c r="H89" s="5" t="s">
        <v>4595</v>
      </c>
    </row>
    <row r="90" spans="1:8" ht="34" customHeight="1" x14ac:dyDescent="0.35">
      <c r="A90" s="5">
        <v>84</v>
      </c>
      <c r="B90" s="5" t="s">
        <v>4596</v>
      </c>
      <c r="C90" s="5" t="s">
        <v>4597</v>
      </c>
      <c r="D90" s="5" t="s">
        <v>4598</v>
      </c>
      <c r="E90" s="5" t="s">
        <v>198</v>
      </c>
      <c r="F90" s="5" t="s">
        <v>4195</v>
      </c>
      <c r="G90" s="5" t="s">
        <v>4221</v>
      </c>
      <c r="H90" s="5" t="s">
        <v>4599</v>
      </c>
    </row>
    <row r="91" spans="1:8" ht="34" customHeight="1" x14ac:dyDescent="0.35">
      <c r="A91" s="5">
        <v>85</v>
      </c>
      <c r="B91" s="5" t="s">
        <v>4600</v>
      </c>
      <c r="C91" s="5" t="s">
        <v>4601</v>
      </c>
      <c r="D91" s="5" t="s">
        <v>4602</v>
      </c>
      <c r="E91" s="5" t="s">
        <v>198</v>
      </c>
      <c r="F91" s="5" t="s">
        <v>4177</v>
      </c>
      <c r="G91" s="5" t="s">
        <v>4603</v>
      </c>
      <c r="H91" s="5" t="s">
        <v>4604</v>
      </c>
    </row>
    <row r="92" spans="1:8" ht="34" customHeight="1" x14ac:dyDescent="0.35">
      <c r="A92" s="5">
        <v>86</v>
      </c>
      <c r="B92" s="5" t="s">
        <v>4605</v>
      </c>
      <c r="C92" s="5" t="s">
        <v>4606</v>
      </c>
      <c r="D92" s="5" t="s">
        <v>4607</v>
      </c>
      <c r="E92" s="5" t="s">
        <v>198</v>
      </c>
      <c r="F92" s="5" t="s">
        <v>4195</v>
      </c>
      <c r="G92" s="5" t="s">
        <v>4221</v>
      </c>
      <c r="H92" s="5" t="s">
        <v>4608</v>
      </c>
    </row>
    <row r="93" spans="1:8" ht="19" customHeight="1" x14ac:dyDescent="0.35">
      <c r="A93" s="5">
        <v>87</v>
      </c>
      <c r="B93" s="5" t="s">
        <v>4609</v>
      </c>
      <c r="C93" s="5" t="s">
        <v>4610</v>
      </c>
      <c r="D93" s="5" t="s">
        <v>4611</v>
      </c>
      <c r="E93" s="5" t="s">
        <v>198</v>
      </c>
      <c r="F93" s="5" t="s">
        <v>4189</v>
      </c>
      <c r="G93" s="5" t="s">
        <v>4612</v>
      </c>
      <c r="H93" s="5" t="s">
        <v>4613</v>
      </c>
    </row>
    <row r="94" spans="1:8" ht="34" customHeight="1" x14ac:dyDescent="0.35">
      <c r="A94" s="5">
        <v>88</v>
      </c>
      <c r="B94" s="5" t="s">
        <v>4614</v>
      </c>
      <c r="C94" s="5" t="s">
        <v>4615</v>
      </c>
      <c r="D94" s="5" t="s">
        <v>4616</v>
      </c>
      <c r="E94" s="5" t="s">
        <v>259</v>
      </c>
      <c r="F94" s="5" t="s">
        <v>4195</v>
      </c>
      <c r="G94" s="5" t="s">
        <v>4617</v>
      </c>
      <c r="H94" s="5" t="s">
        <v>4618</v>
      </c>
    </row>
    <row r="95" spans="1:8" ht="34" customHeight="1" x14ac:dyDescent="0.35">
      <c r="A95" s="5">
        <v>89</v>
      </c>
      <c r="B95" s="5" t="s">
        <v>4619</v>
      </c>
      <c r="C95" s="5" t="s">
        <v>4620</v>
      </c>
      <c r="D95" s="5" t="s">
        <v>4621</v>
      </c>
      <c r="E95" s="5" t="s">
        <v>198</v>
      </c>
      <c r="F95" s="5" t="s">
        <v>4189</v>
      </c>
      <c r="G95" s="5" t="s">
        <v>4622</v>
      </c>
      <c r="H95" s="5" t="s">
        <v>4623</v>
      </c>
    </row>
    <row r="96" spans="1:8" ht="34" customHeight="1" x14ac:dyDescent="0.35">
      <c r="A96" s="5">
        <v>90</v>
      </c>
      <c r="B96" s="5" t="s">
        <v>4624</v>
      </c>
      <c r="C96" s="5" t="s">
        <v>4625</v>
      </c>
      <c r="D96" s="5" t="s">
        <v>4626</v>
      </c>
      <c r="E96" s="5" t="s">
        <v>198</v>
      </c>
      <c r="F96" s="5" t="s">
        <v>4189</v>
      </c>
      <c r="G96" s="5" t="s">
        <v>4627</v>
      </c>
      <c r="H96" s="5" t="s">
        <v>4628</v>
      </c>
    </row>
    <row r="97" spans="1:8" ht="34" customHeight="1" x14ac:dyDescent="0.35">
      <c r="A97" s="5">
        <v>91</v>
      </c>
      <c r="B97" s="5" t="s">
        <v>4629</v>
      </c>
      <c r="C97" s="5" t="s">
        <v>4630</v>
      </c>
      <c r="D97" s="5" t="s">
        <v>4631</v>
      </c>
      <c r="E97" s="5" t="s">
        <v>198</v>
      </c>
      <c r="F97" s="5" t="s">
        <v>4189</v>
      </c>
      <c r="G97" s="5" t="s">
        <v>4413</v>
      </c>
      <c r="H97" s="5" t="s">
        <v>4632</v>
      </c>
    </row>
    <row r="98" spans="1:8" ht="34" customHeight="1" x14ac:dyDescent="0.35">
      <c r="A98" s="5">
        <v>92</v>
      </c>
      <c r="B98" s="5" t="s">
        <v>4633</v>
      </c>
      <c r="C98" s="5" t="s">
        <v>4634</v>
      </c>
      <c r="D98" s="5" t="s">
        <v>4635</v>
      </c>
      <c r="E98" s="5" t="s">
        <v>198</v>
      </c>
      <c r="F98" s="5" t="s">
        <v>4189</v>
      </c>
      <c r="G98" s="5" t="s">
        <v>4636</v>
      </c>
      <c r="H98" s="5" t="s">
        <v>4637</v>
      </c>
    </row>
    <row r="99" spans="1:8" ht="34" customHeight="1" x14ac:dyDescent="0.35">
      <c r="A99" s="5">
        <v>93</v>
      </c>
      <c r="B99" s="5" t="s">
        <v>4638</v>
      </c>
      <c r="C99" s="5" t="s">
        <v>4639</v>
      </c>
      <c r="D99" s="5" t="s">
        <v>4640</v>
      </c>
      <c r="E99" s="5" t="s">
        <v>259</v>
      </c>
      <c r="F99" s="5" t="s">
        <v>4195</v>
      </c>
      <c r="G99" s="5" t="s">
        <v>4641</v>
      </c>
      <c r="H99" s="5" t="s">
        <v>4642</v>
      </c>
    </row>
    <row r="100" spans="1:8" ht="49" customHeight="1" x14ac:dyDescent="0.35">
      <c r="A100" s="5">
        <v>94</v>
      </c>
      <c r="B100" s="5" t="s">
        <v>4643</v>
      </c>
      <c r="C100" s="5" t="s">
        <v>4644</v>
      </c>
      <c r="D100" s="5" t="s">
        <v>4645</v>
      </c>
      <c r="E100" s="5" t="s">
        <v>259</v>
      </c>
      <c r="F100" s="5" t="s">
        <v>4236</v>
      </c>
      <c r="G100" s="5" t="s">
        <v>4646</v>
      </c>
      <c r="H100" s="5" t="s">
        <v>4647</v>
      </c>
    </row>
    <row r="101" spans="1:8" ht="19" customHeight="1" x14ac:dyDescent="0.35">
      <c r="A101" s="5">
        <v>95</v>
      </c>
      <c r="B101" s="5" t="s">
        <v>4648</v>
      </c>
      <c r="C101" s="5" t="s">
        <v>4649</v>
      </c>
      <c r="D101" s="5" t="s">
        <v>4650</v>
      </c>
      <c r="E101" s="5" t="s">
        <v>239</v>
      </c>
      <c r="F101" s="5" t="s">
        <v>4189</v>
      </c>
      <c r="G101" s="5" t="s">
        <v>4651</v>
      </c>
      <c r="H101" s="5" t="s">
        <v>4652</v>
      </c>
    </row>
    <row r="102" spans="1:8" ht="34" customHeight="1" x14ac:dyDescent="0.35">
      <c r="A102" s="5">
        <v>96</v>
      </c>
      <c r="B102" s="5" t="s">
        <v>4653</v>
      </c>
      <c r="C102" s="5" t="s">
        <v>4654</v>
      </c>
      <c r="D102" s="5" t="s">
        <v>4655</v>
      </c>
      <c r="E102" s="5" t="s">
        <v>259</v>
      </c>
      <c r="F102" s="5" t="s">
        <v>4195</v>
      </c>
      <c r="G102" s="5" t="s">
        <v>4656</v>
      </c>
      <c r="H102" s="5" t="s">
        <v>4657</v>
      </c>
    </row>
    <row r="103" spans="1:8" ht="34" customHeight="1" x14ac:dyDescent="0.35">
      <c r="A103" s="5">
        <v>97</v>
      </c>
      <c r="B103" s="5" t="s">
        <v>4658</v>
      </c>
      <c r="C103" s="5" t="s">
        <v>4659</v>
      </c>
      <c r="D103" s="5" t="s">
        <v>4660</v>
      </c>
      <c r="E103" s="5" t="s">
        <v>259</v>
      </c>
      <c r="F103" s="5" t="s">
        <v>4189</v>
      </c>
      <c r="G103" s="5" t="s">
        <v>4661</v>
      </c>
      <c r="H103" s="5" t="s">
        <v>4662</v>
      </c>
    </row>
    <row r="104" spans="1:8" ht="34" customHeight="1" x14ac:dyDescent="0.35">
      <c r="A104" s="5">
        <v>98</v>
      </c>
      <c r="B104" s="5" t="s">
        <v>4663</v>
      </c>
      <c r="C104" s="5" t="s">
        <v>4664</v>
      </c>
      <c r="D104" s="5" t="s">
        <v>4271</v>
      </c>
      <c r="E104" s="5" t="s">
        <v>259</v>
      </c>
      <c r="F104" s="5" t="s">
        <v>4189</v>
      </c>
      <c r="G104" s="5" t="s">
        <v>4665</v>
      </c>
      <c r="H104" s="5" t="s">
        <v>4666</v>
      </c>
    </row>
    <row r="105" spans="1:8" ht="34" customHeight="1" x14ac:dyDescent="0.35">
      <c r="A105" s="5">
        <v>99</v>
      </c>
      <c r="B105" s="5" t="s">
        <v>4667</v>
      </c>
      <c r="C105" s="5" t="s">
        <v>4668</v>
      </c>
      <c r="D105" s="5" t="s">
        <v>4669</v>
      </c>
      <c r="E105" s="5" t="s">
        <v>198</v>
      </c>
      <c r="F105" s="5" t="s">
        <v>4189</v>
      </c>
      <c r="G105" s="5" t="s">
        <v>4670</v>
      </c>
      <c r="H105" s="5" t="s">
        <v>4671</v>
      </c>
    </row>
    <row r="106" spans="1:8" ht="34" customHeight="1" x14ac:dyDescent="0.35">
      <c r="A106" s="5">
        <v>100</v>
      </c>
      <c r="B106" s="5" t="s">
        <v>4672</v>
      </c>
      <c r="C106" s="5" t="s">
        <v>4673</v>
      </c>
      <c r="D106" s="5" t="s">
        <v>4674</v>
      </c>
      <c r="E106" s="5" t="s">
        <v>198</v>
      </c>
      <c r="F106" s="5" t="s">
        <v>4189</v>
      </c>
      <c r="G106" s="5" t="s">
        <v>4675</v>
      </c>
      <c r="H106" s="5" t="s">
        <v>4676</v>
      </c>
    </row>
    <row r="108" spans="1:8" ht="15.5" x14ac:dyDescent="0.35">
      <c r="A108" s="3" t="s">
        <v>4274</v>
      </c>
    </row>
    <row r="109" spans="1:8" ht="20" customHeight="1" x14ac:dyDescent="0.35">
      <c r="A109" s="35" t="s">
        <v>4275</v>
      </c>
      <c r="B109" s="35"/>
      <c r="C109" s="35"/>
      <c r="D109" s="35"/>
      <c r="E109" s="35"/>
      <c r="F109" s="10">
        <f>COUNTA(F7:F106)</f>
        <v>100</v>
      </c>
    </row>
    <row r="110" spans="1:8" ht="20" customHeight="1" x14ac:dyDescent="0.35">
      <c r="A110" s="35" t="s">
        <v>4236</v>
      </c>
      <c r="B110" s="35"/>
      <c r="C110" s="35"/>
      <c r="D110" s="35"/>
      <c r="E110" s="35"/>
      <c r="F110" s="10">
        <f>COUNTIF(F7:F106,"Façadier (cœur de métier)")</f>
        <v>5</v>
      </c>
    </row>
    <row r="111" spans="1:8" ht="20" customHeight="1" x14ac:dyDescent="0.35">
      <c r="A111" s="35" t="s">
        <v>4195</v>
      </c>
      <c r="B111" s="35"/>
      <c r="C111" s="35"/>
      <c r="D111" s="35"/>
      <c r="E111" s="35"/>
      <c r="F111" s="10">
        <f>COUNTIF(F7:F106,"Façade parmi d'autres activités")</f>
        <v>21</v>
      </c>
    </row>
    <row r="112" spans="1:8" ht="20" customHeight="1" x14ac:dyDescent="0.35">
      <c r="A112" s="35" t="s">
        <v>4177</v>
      </c>
      <c r="B112" s="35"/>
      <c r="C112" s="35"/>
      <c r="D112" s="35"/>
      <c r="E112" s="35"/>
      <c r="F112" s="10">
        <f>COUNTIF(F7:F106,"Indice faible (non confirmé)")</f>
        <v>20</v>
      </c>
    </row>
    <row r="113" spans="1:8" ht="20" customHeight="1" x14ac:dyDescent="0.35">
      <c r="A113" s="35" t="s">
        <v>4189</v>
      </c>
      <c r="B113" s="35"/>
      <c r="C113" s="35"/>
      <c r="D113" s="35"/>
      <c r="E113" s="35"/>
      <c r="F113" s="10">
        <f>COUNTIF(F7:F106,"Pas d'activité façade")</f>
        <v>54</v>
      </c>
    </row>
    <row r="114" spans="1:8" ht="20" customHeight="1" x14ac:dyDescent="0.35">
      <c r="A114" s="35" t="s">
        <v>4276</v>
      </c>
      <c r="B114" s="35"/>
      <c r="C114" s="35"/>
      <c r="D114" s="35"/>
      <c r="E114" s="35"/>
      <c r="F114" s="14">
        <f>(F110+F111)/F109</f>
        <v>0.26</v>
      </c>
    </row>
    <row r="115" spans="1:8" ht="20" customHeight="1" x14ac:dyDescent="0.35">
      <c r="A115" s="35" t="s">
        <v>4277</v>
      </c>
      <c r="B115" s="35"/>
      <c r="C115" s="35"/>
      <c r="D115" s="35"/>
      <c r="E115" s="35"/>
      <c r="F115" s="14">
        <f>F110/F109</f>
        <v>0.05</v>
      </c>
    </row>
    <row r="117" spans="1:8" ht="45" customHeight="1" x14ac:dyDescent="0.35">
      <c r="A117" s="31" t="s">
        <v>4677</v>
      </c>
      <c r="B117" s="32"/>
      <c r="C117" s="32"/>
      <c r="D117" s="32"/>
      <c r="E117" s="32"/>
      <c r="F117" s="32"/>
      <c r="G117" s="32"/>
      <c r="H117" s="32"/>
    </row>
  </sheetData>
  <mergeCells count="11">
    <mergeCell ref="A117:H117"/>
    <mergeCell ref="A111:E111"/>
    <mergeCell ref="A112:E112"/>
    <mergeCell ref="A113:E113"/>
    <mergeCell ref="A114:E114"/>
    <mergeCell ref="A115:E115"/>
    <mergeCell ref="A2:H2"/>
    <mergeCell ref="A3:H3"/>
    <mergeCell ref="A4:H4"/>
    <mergeCell ref="A109:E109"/>
    <mergeCell ref="A110:E110"/>
  </mergeCells>
  <dataValidations count="1">
    <dataValidation type="list" allowBlank="1" showInputMessage="1" showErrorMessage="1" sqref="F7:F106" xr:uid="{00000000-0002-0000-0200-000000000000}">
      <formula1>"Façadier (cœur de métier),Façade parmi d'autres activités,Indice faible (non confirmé),Pas d'activité façade"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820A3-9202-490D-B10B-06B85EF53432}">
  <dimension ref="A1:D23"/>
  <sheetViews>
    <sheetView showGridLines="0" workbookViewId="0"/>
  </sheetViews>
  <sheetFormatPr defaultRowHeight="14.5" x14ac:dyDescent="0.35"/>
  <cols>
    <col min="1" max="1" width="26" customWidth="1"/>
    <col min="2" max="2" width="70" customWidth="1"/>
    <col min="3" max="3" width="50" customWidth="1"/>
    <col min="4" max="4" width="14" customWidth="1"/>
  </cols>
  <sheetData>
    <row r="1" spans="1:4" ht="18" x14ac:dyDescent="0.4">
      <c r="A1" s="1" t="s">
        <v>97</v>
      </c>
    </row>
    <row r="2" spans="1:4" x14ac:dyDescent="0.35">
      <c r="A2" s="2" t="s">
        <v>4678</v>
      </c>
    </row>
    <row r="4" spans="1:4" ht="28" x14ac:dyDescent="0.35">
      <c r="A4" s="4" t="s">
        <v>98</v>
      </c>
      <c r="B4" s="4" t="s">
        <v>99</v>
      </c>
      <c r="C4" s="4" t="s">
        <v>100</v>
      </c>
      <c r="D4" s="4" t="s">
        <v>101</v>
      </c>
    </row>
    <row r="5" spans="1:4" ht="64" customHeight="1" x14ac:dyDescent="0.35">
      <c r="A5" s="5" t="s">
        <v>102</v>
      </c>
      <c r="B5" s="5" t="s">
        <v>4679</v>
      </c>
      <c r="C5" s="5" t="s">
        <v>103</v>
      </c>
      <c r="D5" s="6">
        <v>629</v>
      </c>
    </row>
    <row r="6" spans="1:4" ht="28" x14ac:dyDescent="0.35">
      <c r="A6" s="5" t="s">
        <v>104</v>
      </c>
      <c r="B6" s="5" t="s">
        <v>105</v>
      </c>
      <c r="C6" s="5" t="s">
        <v>106</v>
      </c>
      <c r="D6" s="6">
        <v>4</v>
      </c>
    </row>
    <row r="7" spans="1:4" x14ac:dyDescent="0.35">
      <c r="A7" s="5" t="s">
        <v>107</v>
      </c>
      <c r="B7" s="5" t="s">
        <v>108</v>
      </c>
      <c r="C7" s="5" t="s">
        <v>109</v>
      </c>
      <c r="D7" s="5">
        <f>COUNTA(Base!$A$2:$A$626)</f>
        <v>625</v>
      </c>
    </row>
    <row r="8" spans="1:4" ht="28" x14ac:dyDescent="0.35">
      <c r="A8" s="5" t="s">
        <v>110</v>
      </c>
      <c r="B8" s="5" t="s">
        <v>111</v>
      </c>
      <c r="C8" s="5" t="s">
        <v>112</v>
      </c>
      <c r="D8" s="5">
        <f>COUNTIF(Base!$F$2:$F$626,"automatique (RGE*")</f>
        <v>286</v>
      </c>
    </row>
    <row r="9" spans="1:4" ht="90" customHeight="1" x14ac:dyDescent="0.35">
      <c r="A9" s="5" t="s">
        <v>4680</v>
      </c>
      <c r="B9" s="5" t="s">
        <v>4681</v>
      </c>
      <c r="C9" s="5" t="s">
        <v>4682</v>
      </c>
      <c r="D9" s="5">
        <f>COUNTIF(Base!$F$2:$F$626,"recherche web*")</f>
        <v>201</v>
      </c>
    </row>
    <row r="10" spans="1:4" ht="56" x14ac:dyDescent="0.35">
      <c r="A10" s="5" t="s">
        <v>113</v>
      </c>
      <c r="B10" s="5" t="s">
        <v>4683</v>
      </c>
      <c r="C10" s="5" t="s">
        <v>114</v>
      </c>
      <c r="D10" s="5">
        <f>COUNTIF(Base!$F$2:$F$626,"BODACC*")</f>
        <v>72</v>
      </c>
    </row>
    <row r="11" spans="1:4" ht="84" x14ac:dyDescent="0.35">
      <c r="A11" s="5" t="s">
        <v>115</v>
      </c>
      <c r="B11" s="25" t="s">
        <v>4164</v>
      </c>
      <c r="C11" s="5" t="s">
        <v>114</v>
      </c>
      <c r="D11" s="5">
        <f>COUNTIF(Base!$P$2:$P$626,"?*")</f>
        <v>58</v>
      </c>
    </row>
    <row r="12" spans="1:4" ht="28" x14ac:dyDescent="0.35">
      <c r="A12" s="5" t="s">
        <v>116</v>
      </c>
      <c r="B12" s="5" t="s">
        <v>4684</v>
      </c>
      <c r="C12" s="25" t="s">
        <v>117</v>
      </c>
      <c r="D12" s="5">
        <f>COUNTIF(Base!$F$2:$F$626,"non vérifié*")</f>
        <v>47</v>
      </c>
    </row>
    <row r="13" spans="1:4" ht="49" customHeight="1" x14ac:dyDescent="0.35">
      <c r="A13" s="5" t="s">
        <v>4685</v>
      </c>
      <c r="B13" s="5" t="s">
        <v>4686</v>
      </c>
      <c r="C13" s="5" t="s">
        <v>4687</v>
      </c>
      <c r="D13" s="5">
        <f>COUNTIF(Base!$F$2:$F$626,"automatique (NAF*")</f>
        <v>19</v>
      </c>
    </row>
    <row r="14" spans="1:4" x14ac:dyDescent="0.35">
      <c r="A14" s="5" t="s">
        <v>4688</v>
      </c>
      <c r="B14" s="5" t="s">
        <v>4689</v>
      </c>
      <c r="C14" s="5"/>
      <c r="D14" s="5">
        <f>D8+D9+D10+D12+D13</f>
        <v>625</v>
      </c>
    </row>
    <row r="15" spans="1:4" ht="15.5" x14ac:dyDescent="0.35">
      <c r="A15" s="3" t="s">
        <v>118</v>
      </c>
    </row>
    <row r="16" spans="1:4" x14ac:dyDescent="0.35">
      <c r="A16" s="4" t="s">
        <v>119</v>
      </c>
      <c r="B16" s="4" t="s">
        <v>120</v>
      </c>
      <c r="C16" s="4" t="s">
        <v>121</v>
      </c>
      <c r="D16" s="4" t="s">
        <v>31</v>
      </c>
    </row>
    <row r="17" spans="1:4" ht="28" x14ac:dyDescent="0.35">
      <c r="A17" s="5" t="s">
        <v>122</v>
      </c>
      <c r="B17" s="5" t="s">
        <v>123</v>
      </c>
      <c r="C17" s="5" t="s">
        <v>124</v>
      </c>
      <c r="D17" s="5">
        <f>COUNTIF(Base!$C$2:$C$626,A17)</f>
        <v>498</v>
      </c>
    </row>
    <row r="18" spans="1:4" ht="28" x14ac:dyDescent="0.35">
      <c r="A18" s="5" t="s">
        <v>125</v>
      </c>
      <c r="B18" s="5" t="s">
        <v>126</v>
      </c>
      <c r="C18" s="5" t="s">
        <v>127</v>
      </c>
      <c r="D18" s="5">
        <f>COUNTIF(Base!$C$2:$C$626,A18)</f>
        <v>64</v>
      </c>
    </row>
    <row r="19" spans="1:4" ht="28" x14ac:dyDescent="0.35">
      <c r="A19" s="5" t="s">
        <v>128</v>
      </c>
      <c r="B19" s="5" t="s">
        <v>129</v>
      </c>
      <c r="C19" s="5" t="s">
        <v>130</v>
      </c>
      <c r="D19" s="5">
        <f>COUNTIF(Base!$C$2:$C$626,A19)</f>
        <v>26</v>
      </c>
    </row>
    <row r="20" spans="1:4" ht="28" x14ac:dyDescent="0.35">
      <c r="A20" s="5" t="s">
        <v>131</v>
      </c>
      <c r="B20" s="5" t="s">
        <v>132</v>
      </c>
      <c r="C20" s="5" t="s">
        <v>133</v>
      </c>
      <c r="D20" s="5">
        <f>COUNTIF(Base!$C$2:$C$626,A20)</f>
        <v>9</v>
      </c>
    </row>
    <row r="21" spans="1:4" x14ac:dyDescent="0.35">
      <c r="A21" s="5" t="s">
        <v>134</v>
      </c>
      <c r="B21" s="5" t="s">
        <v>135</v>
      </c>
      <c r="C21" s="5" t="s">
        <v>4690</v>
      </c>
      <c r="D21" s="5">
        <f>COUNTIF(Base!$C$2:$C$626,A21)</f>
        <v>5</v>
      </c>
    </row>
    <row r="22" spans="1:4" ht="28" x14ac:dyDescent="0.35">
      <c r="A22" s="5" t="s">
        <v>23</v>
      </c>
      <c r="B22" s="5" t="s">
        <v>136</v>
      </c>
      <c r="C22" s="5" t="s">
        <v>137</v>
      </c>
      <c r="D22" s="5">
        <f>COUNTIF(Base!$C$2:$C$626,A22)</f>
        <v>23</v>
      </c>
    </row>
    <row r="23" spans="1:4" x14ac:dyDescent="0.35">
      <c r="A23" s="10" t="s">
        <v>40</v>
      </c>
      <c r="B23" s="10"/>
      <c r="C23" s="10"/>
      <c r="D23" s="10">
        <f>SUM(D17:D22)</f>
        <v>625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81CE6-4790-45EC-A112-590C41CE13BE}">
  <dimension ref="A1:F13"/>
  <sheetViews>
    <sheetView showGridLines="0" workbookViewId="0"/>
  </sheetViews>
  <sheetFormatPr defaultRowHeight="14.5" x14ac:dyDescent="0.35"/>
  <cols>
    <col min="1" max="1" width="4" customWidth="1"/>
    <col min="2" max="2" width="22" customWidth="1"/>
    <col min="3" max="3" width="55" customWidth="1"/>
    <col min="4" max="4" width="45" customWidth="1"/>
    <col min="5" max="5" width="28" customWidth="1"/>
    <col min="6" max="6" width="40" customWidth="1"/>
  </cols>
  <sheetData>
    <row r="1" spans="1:6" ht="18" x14ac:dyDescent="0.4">
      <c r="A1" s="1" t="s">
        <v>138</v>
      </c>
    </row>
    <row r="2" spans="1:6" x14ac:dyDescent="0.35">
      <c r="A2" s="2" t="s">
        <v>139</v>
      </c>
    </row>
    <row r="4" spans="1:6" x14ac:dyDescent="0.35">
      <c r="A4" s="4" t="s">
        <v>140</v>
      </c>
      <c r="B4" s="4" t="s">
        <v>141</v>
      </c>
      <c r="C4" s="4" t="s">
        <v>142</v>
      </c>
      <c r="D4" s="4" t="s">
        <v>143</v>
      </c>
      <c r="E4" s="4" t="s">
        <v>144</v>
      </c>
      <c r="F4" s="4" t="s">
        <v>145</v>
      </c>
    </row>
    <row r="5" spans="1:6" ht="80" customHeight="1" x14ac:dyDescent="0.35">
      <c r="A5" s="5">
        <v>1</v>
      </c>
      <c r="B5" s="5" t="s">
        <v>146</v>
      </c>
      <c r="C5" s="5" t="s">
        <v>4691</v>
      </c>
      <c r="D5" s="5" t="s">
        <v>147</v>
      </c>
      <c r="E5" s="5" t="s">
        <v>148</v>
      </c>
      <c r="F5" s="5" t="s">
        <v>149</v>
      </c>
    </row>
    <row r="6" spans="1:6" ht="80" customHeight="1" x14ac:dyDescent="0.35">
      <c r="A6" s="5">
        <v>2</v>
      </c>
      <c r="B6" s="5" t="s">
        <v>4692</v>
      </c>
      <c r="C6" s="5" t="s">
        <v>4693</v>
      </c>
      <c r="D6" s="5" t="s">
        <v>4694</v>
      </c>
      <c r="E6" s="5" t="s">
        <v>4695</v>
      </c>
      <c r="F6" s="5" t="s">
        <v>4278</v>
      </c>
    </row>
    <row r="7" spans="1:6" ht="135" customHeight="1" x14ac:dyDescent="0.35">
      <c r="A7" s="5">
        <v>3</v>
      </c>
      <c r="B7" s="5" t="s">
        <v>150</v>
      </c>
      <c r="C7" s="5" t="s">
        <v>4696</v>
      </c>
      <c r="D7" s="5" t="s">
        <v>4697</v>
      </c>
      <c r="E7" s="5" t="str">
        <f>COUNTIF(Base!$F$2:$F$626,"non vérifié*")&amp;" entreprises non vérifiées"</f>
        <v>47 entreprises non vérifiées</v>
      </c>
      <c r="F7" s="5" t="s">
        <v>151</v>
      </c>
    </row>
    <row r="8" spans="1:6" ht="80" customHeight="1" x14ac:dyDescent="0.35">
      <c r="A8" s="5">
        <v>4</v>
      </c>
      <c r="B8" s="5" t="s">
        <v>152</v>
      </c>
      <c r="C8" s="5" t="s">
        <v>4698</v>
      </c>
      <c r="D8" s="5" t="s">
        <v>153</v>
      </c>
      <c r="E8" s="5" t="str">
        <f>COUNTIFS(Base!$C$2:$C$626,"Confirmé",Base!$D$2:$D$626,"Multi*")&amp;" multi-activités identifiées"</f>
        <v>10 multi-activités identifiées</v>
      </c>
      <c r="F8" s="5" t="s">
        <v>154</v>
      </c>
    </row>
    <row r="9" spans="1:6" ht="165" customHeight="1" x14ac:dyDescent="0.35">
      <c r="A9" s="5">
        <v>5</v>
      </c>
      <c r="B9" s="5" t="s">
        <v>4699</v>
      </c>
      <c r="C9" s="5" t="s">
        <v>4700</v>
      </c>
      <c r="D9" s="5" t="s">
        <v>4701</v>
      </c>
      <c r="E9" s="5" t="str">
        <f>COUNTIF(Base!$F$2:$F$626,"recherche web*")&amp;" verdicts rendus par l'agent IA, chacun avec sa source"</f>
        <v>201 verdicts rendus par l'agent IA, chacun avec sa source</v>
      </c>
      <c r="F9" s="5" t="s">
        <v>4702</v>
      </c>
    </row>
    <row r="10" spans="1:6" ht="80" customHeight="1" x14ac:dyDescent="0.35">
      <c r="A10" s="5">
        <v>6</v>
      </c>
      <c r="B10" s="5" t="s">
        <v>155</v>
      </c>
      <c r="C10" s="5" t="s">
        <v>156</v>
      </c>
      <c r="D10" s="5" t="s">
        <v>157</v>
      </c>
      <c r="E10" s="5" t="s">
        <v>158</v>
      </c>
      <c r="F10" s="5" t="s">
        <v>159</v>
      </c>
    </row>
    <row r="11" spans="1:6" ht="110" customHeight="1" x14ac:dyDescent="0.35">
      <c r="A11" s="5">
        <v>7</v>
      </c>
      <c r="B11" s="5" t="s">
        <v>160</v>
      </c>
      <c r="C11" s="5" t="s">
        <v>4703</v>
      </c>
      <c r="D11" s="5" t="s">
        <v>4704</v>
      </c>
      <c r="E11" s="5" t="str">
        <f>(COUNTIFS(Base!$C$2:$C$626,"Confirmé",Base!$D$2:$D$626,"Couvreur*")+COUNTIFS(Base!$C$2:$C$626,"Confirmé",Base!$D$2:$D$626,"Façade légère*"))&amp;" entreprises concernées"</f>
        <v>50 entreprises concernées</v>
      </c>
      <c r="F11" s="5" t="s">
        <v>161</v>
      </c>
    </row>
    <row r="12" spans="1:6" ht="80" customHeight="1" x14ac:dyDescent="0.35">
      <c r="A12" s="5">
        <v>8</v>
      </c>
      <c r="B12" s="5" t="s">
        <v>162</v>
      </c>
      <c r="C12" s="25" t="s">
        <v>4166</v>
      </c>
      <c r="D12" s="5" t="s">
        <v>163</v>
      </c>
      <c r="E12" s="5" t="s">
        <v>117</v>
      </c>
      <c r="F12" s="5" t="s">
        <v>164</v>
      </c>
    </row>
    <row r="13" spans="1:6" ht="95" customHeight="1" x14ac:dyDescent="0.35">
      <c r="A13" s="5">
        <v>9</v>
      </c>
      <c r="B13" s="5" t="s">
        <v>165</v>
      </c>
      <c r="C13" s="5" t="s">
        <v>4279</v>
      </c>
      <c r="D13" s="5" t="s">
        <v>166</v>
      </c>
      <c r="E13" s="5" t="s">
        <v>117</v>
      </c>
      <c r="F13" s="5" t="s">
        <v>167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11EE-9275-44F0-A96E-3A50DEC8181A}">
  <dimension ref="A1:D9"/>
  <sheetViews>
    <sheetView showGridLines="0" workbookViewId="0"/>
  </sheetViews>
  <sheetFormatPr defaultRowHeight="14.5" x14ac:dyDescent="0.35"/>
  <cols>
    <col min="1" max="1" width="9" customWidth="1"/>
    <col min="2" max="2" width="72.6328125" bestFit="1" customWidth="1"/>
    <col min="3" max="3" width="50" customWidth="1"/>
    <col min="4" max="4" width="10" customWidth="1"/>
  </cols>
  <sheetData>
    <row r="1" spans="1:4" ht="18" x14ac:dyDescent="0.4">
      <c r="A1" s="1" t="s">
        <v>168</v>
      </c>
    </row>
    <row r="3" spans="1:4" x14ac:dyDescent="0.35">
      <c r="A3" s="4" t="s">
        <v>169</v>
      </c>
      <c r="B3" s="4" t="s">
        <v>170</v>
      </c>
      <c r="C3" s="4" t="s">
        <v>171</v>
      </c>
      <c r="D3" s="4" t="s">
        <v>172</v>
      </c>
    </row>
    <row r="4" spans="1:4" ht="28" x14ac:dyDescent="0.35">
      <c r="A4" s="5">
        <v>1</v>
      </c>
      <c r="B4" s="5" t="s">
        <v>4705</v>
      </c>
      <c r="C4" s="5" t="s">
        <v>173</v>
      </c>
      <c r="D4" s="5" t="s">
        <v>174</v>
      </c>
    </row>
    <row r="5" spans="1:4" ht="42" x14ac:dyDescent="0.35">
      <c r="A5" s="5">
        <v>2</v>
      </c>
      <c r="B5" s="5" t="s">
        <v>175</v>
      </c>
      <c r="C5" s="5" t="s">
        <v>4168</v>
      </c>
      <c r="D5" s="5" t="s">
        <v>176</v>
      </c>
    </row>
    <row r="6" spans="1:4" ht="168" x14ac:dyDescent="0.35">
      <c r="A6" s="5">
        <v>3</v>
      </c>
      <c r="B6" s="5" t="s">
        <v>177</v>
      </c>
      <c r="C6" s="5" t="s">
        <v>178</v>
      </c>
      <c r="D6" s="5" t="s">
        <v>4706</v>
      </c>
    </row>
    <row r="7" spans="1:4" ht="28" x14ac:dyDescent="0.35">
      <c r="A7" s="5">
        <v>4</v>
      </c>
      <c r="B7" s="5" t="s">
        <v>179</v>
      </c>
      <c r="C7" s="5" t="s">
        <v>180</v>
      </c>
      <c r="D7" s="5" t="s">
        <v>181</v>
      </c>
    </row>
    <row r="8" spans="1:4" ht="45" customHeight="1" x14ac:dyDescent="0.35">
      <c r="A8" s="5">
        <v>5</v>
      </c>
      <c r="B8" s="5" t="s">
        <v>4707</v>
      </c>
      <c r="C8" s="5" t="s">
        <v>182</v>
      </c>
      <c r="D8" s="5" t="s">
        <v>181</v>
      </c>
    </row>
    <row r="9" spans="1:4" x14ac:dyDescent="0.35">
      <c r="A9" s="5">
        <v>6</v>
      </c>
      <c r="B9" s="5" t="s">
        <v>183</v>
      </c>
      <c r="C9" s="5" t="s">
        <v>184</v>
      </c>
      <c r="D9" s="5" t="s">
        <v>176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FCE9-4E52-495C-A036-E62C70BB68C7}">
  <dimension ref="A1:N469"/>
  <sheetViews>
    <sheetView workbookViewId="0">
      <pane xSplit="2" ySplit="4" topLeftCell="C5" activePane="bottomRight" state="frozen"/>
      <selection pane="topRight"/>
      <selection pane="bottomLeft"/>
      <selection pane="bottomRight" activeCell="C5" sqref="C5"/>
    </sheetView>
  </sheetViews>
  <sheetFormatPr defaultRowHeight="14.5" x14ac:dyDescent="0.35"/>
  <cols>
    <col min="1" max="1" width="26.7265625" customWidth="1"/>
    <col min="2" max="2" width="28.54296875" style="20" customWidth="1"/>
    <col min="3" max="3" width="13" customWidth="1"/>
    <col min="4" max="4" width="45.7265625" bestFit="1" customWidth="1"/>
    <col min="5" max="5" width="28" customWidth="1"/>
    <col min="6" max="6" width="9" customWidth="1"/>
    <col min="7" max="7" width="45.26953125" customWidth="1"/>
    <col min="8" max="8" width="11" customWidth="1"/>
    <col min="9" max="9" width="33.90625" bestFit="1" customWidth="1"/>
    <col min="10" max="10" width="10" customWidth="1"/>
    <col min="11" max="11" width="8" customWidth="1"/>
    <col min="12" max="12" width="43.90625" style="20" customWidth="1"/>
    <col min="13" max="13" width="142.26953125" style="20" customWidth="1"/>
    <col min="14" max="14" width="108.453125" bestFit="1" customWidth="1"/>
  </cols>
  <sheetData>
    <row r="1" spans="1:14" ht="18" x14ac:dyDescent="0.4">
      <c r="A1" s="1" t="s">
        <v>185</v>
      </c>
    </row>
    <row r="2" spans="1:14" x14ac:dyDescent="0.35">
      <c r="A2" s="2" t="s">
        <v>186</v>
      </c>
    </row>
    <row r="4" spans="1:14" ht="28" x14ac:dyDescent="0.35">
      <c r="A4" s="4" t="s">
        <v>187</v>
      </c>
      <c r="B4" s="4" t="s">
        <v>188</v>
      </c>
      <c r="C4" s="4" t="s">
        <v>119</v>
      </c>
      <c r="D4" s="4" t="s">
        <v>30</v>
      </c>
      <c r="E4" s="4" t="s">
        <v>189</v>
      </c>
      <c r="F4" s="4" t="s">
        <v>45</v>
      </c>
      <c r="G4" s="4" t="s">
        <v>46</v>
      </c>
      <c r="H4" s="4" t="s">
        <v>190</v>
      </c>
      <c r="I4" s="4" t="s">
        <v>191</v>
      </c>
      <c r="J4" s="4" t="s">
        <v>192</v>
      </c>
      <c r="K4" s="4" t="s">
        <v>193</v>
      </c>
      <c r="L4" s="4" t="s">
        <v>194</v>
      </c>
      <c r="M4" s="4" t="s">
        <v>195</v>
      </c>
      <c r="N4" s="4" t="s">
        <v>100</v>
      </c>
    </row>
    <row r="5" spans="1:14" x14ac:dyDescent="0.35">
      <c r="A5" s="12" t="s">
        <v>196</v>
      </c>
      <c r="B5" s="18" t="s">
        <v>197</v>
      </c>
      <c r="C5" s="12" t="s">
        <v>122</v>
      </c>
      <c r="D5" s="12" t="s">
        <v>33</v>
      </c>
      <c r="E5" s="12"/>
      <c r="F5" s="12" t="s">
        <v>53</v>
      </c>
      <c r="G5" s="12" t="s">
        <v>54</v>
      </c>
      <c r="H5" s="12" t="s">
        <v>198</v>
      </c>
      <c r="I5" s="12" t="s">
        <v>199</v>
      </c>
      <c r="J5" s="12" t="s">
        <v>200</v>
      </c>
      <c r="K5" s="12" t="s">
        <v>201</v>
      </c>
      <c r="L5" s="18" t="s">
        <v>202</v>
      </c>
      <c r="M5" s="18" t="s">
        <v>203</v>
      </c>
      <c r="N5" s="12" t="s">
        <v>204</v>
      </c>
    </row>
    <row r="6" spans="1:14" ht="28.5" x14ac:dyDescent="0.35">
      <c r="A6" s="12" t="s">
        <v>205</v>
      </c>
      <c r="B6" s="18" t="s">
        <v>206</v>
      </c>
      <c r="C6" s="12" t="s">
        <v>122</v>
      </c>
      <c r="D6" s="12" t="s">
        <v>38</v>
      </c>
      <c r="E6" s="12"/>
      <c r="F6" s="12" t="s">
        <v>83</v>
      </c>
      <c r="G6" s="12" t="s">
        <v>84</v>
      </c>
      <c r="H6" s="12" t="s">
        <v>198</v>
      </c>
      <c r="I6" s="12" t="s">
        <v>207</v>
      </c>
      <c r="J6" s="12" t="s">
        <v>208</v>
      </c>
      <c r="K6" s="12" t="s">
        <v>201</v>
      </c>
      <c r="L6" s="18" t="s">
        <v>209</v>
      </c>
      <c r="M6" s="18" t="s">
        <v>210</v>
      </c>
      <c r="N6" s="12" t="s">
        <v>211</v>
      </c>
    </row>
    <row r="7" spans="1:14" x14ac:dyDescent="0.35">
      <c r="A7" s="12" t="s">
        <v>212</v>
      </c>
      <c r="B7" s="18" t="s">
        <v>213</v>
      </c>
      <c r="C7" s="12" t="s">
        <v>122</v>
      </c>
      <c r="D7" s="12" t="s">
        <v>34</v>
      </c>
      <c r="E7" s="12"/>
      <c r="F7" s="12" t="s">
        <v>65</v>
      </c>
      <c r="G7" s="12" t="s">
        <v>66</v>
      </c>
      <c r="H7" s="12" t="s">
        <v>198</v>
      </c>
      <c r="I7" s="12" t="s">
        <v>214</v>
      </c>
      <c r="J7" s="12" t="s">
        <v>215</v>
      </c>
      <c r="K7" s="12" t="s">
        <v>201</v>
      </c>
      <c r="L7" s="18" t="s">
        <v>216</v>
      </c>
      <c r="M7" s="18" t="s">
        <v>217</v>
      </c>
      <c r="N7" s="12" t="s">
        <v>218</v>
      </c>
    </row>
    <row r="8" spans="1:14" x14ac:dyDescent="0.35">
      <c r="A8" s="12" t="s">
        <v>219</v>
      </c>
      <c r="B8" s="18" t="s">
        <v>220</v>
      </c>
      <c r="C8" s="12" t="s">
        <v>122</v>
      </c>
      <c r="D8" s="12" t="s">
        <v>34</v>
      </c>
      <c r="E8" s="12"/>
      <c r="F8" s="12" t="s">
        <v>65</v>
      </c>
      <c r="G8" s="12" t="s">
        <v>66</v>
      </c>
      <c r="H8" s="12" t="s">
        <v>198</v>
      </c>
      <c r="I8" s="12" t="s">
        <v>221</v>
      </c>
      <c r="J8" s="12" t="s">
        <v>215</v>
      </c>
      <c r="K8" s="12" t="s">
        <v>201</v>
      </c>
      <c r="L8" s="18" t="s">
        <v>216</v>
      </c>
      <c r="M8" s="18" t="s">
        <v>222</v>
      </c>
      <c r="N8" s="12" t="s">
        <v>223</v>
      </c>
    </row>
    <row r="9" spans="1:14" x14ac:dyDescent="0.35">
      <c r="A9" s="12" t="s">
        <v>224</v>
      </c>
      <c r="B9" s="18" t="s">
        <v>225</v>
      </c>
      <c r="C9" s="12" t="s">
        <v>122</v>
      </c>
      <c r="D9" s="12" t="s">
        <v>33</v>
      </c>
      <c r="E9" s="12"/>
      <c r="F9" s="12" t="s">
        <v>53</v>
      </c>
      <c r="G9" s="12" t="s">
        <v>54</v>
      </c>
      <c r="H9" s="12" t="s">
        <v>198</v>
      </c>
      <c r="I9" s="12" t="s">
        <v>226</v>
      </c>
      <c r="J9" s="12" t="s">
        <v>227</v>
      </c>
      <c r="K9" s="12" t="s">
        <v>228</v>
      </c>
      <c r="L9" s="18" t="s">
        <v>202</v>
      </c>
      <c r="M9" s="18" t="s">
        <v>229</v>
      </c>
      <c r="N9" s="12" t="s">
        <v>204</v>
      </c>
    </row>
    <row r="10" spans="1:14" x14ac:dyDescent="0.35">
      <c r="A10" s="12" t="s">
        <v>230</v>
      </c>
      <c r="B10" s="18" t="s">
        <v>231</v>
      </c>
      <c r="C10" s="12" t="s">
        <v>122</v>
      </c>
      <c r="D10" s="12" t="s">
        <v>33</v>
      </c>
      <c r="E10" s="12"/>
      <c r="F10" s="12" t="s">
        <v>53</v>
      </c>
      <c r="G10" s="12" t="s">
        <v>54</v>
      </c>
      <c r="H10" s="12" t="s">
        <v>198</v>
      </c>
      <c r="I10" s="12" t="s">
        <v>232</v>
      </c>
      <c r="J10" s="12" t="s">
        <v>233</v>
      </c>
      <c r="K10" s="12" t="s">
        <v>234</v>
      </c>
      <c r="L10" s="18" t="s">
        <v>209</v>
      </c>
      <c r="M10" s="18" t="s">
        <v>235</v>
      </c>
      <c r="N10" s="12" t="s">
        <v>236</v>
      </c>
    </row>
    <row r="11" spans="1:14" x14ac:dyDescent="0.35">
      <c r="A11" s="12" t="s">
        <v>237</v>
      </c>
      <c r="B11" s="18" t="s">
        <v>238</v>
      </c>
      <c r="C11" s="12" t="s">
        <v>122</v>
      </c>
      <c r="D11" s="12" t="s">
        <v>33</v>
      </c>
      <c r="E11" s="12"/>
      <c r="F11" s="12" t="s">
        <v>53</v>
      </c>
      <c r="G11" s="12" t="s">
        <v>54</v>
      </c>
      <c r="H11" s="12" t="s">
        <v>239</v>
      </c>
      <c r="I11" s="12" t="s">
        <v>240</v>
      </c>
      <c r="J11" s="12" t="s">
        <v>241</v>
      </c>
      <c r="K11" s="12" t="s">
        <v>242</v>
      </c>
      <c r="L11" s="18" t="s">
        <v>209</v>
      </c>
      <c r="M11" s="18" t="s">
        <v>243</v>
      </c>
      <c r="N11" s="12" t="s">
        <v>244</v>
      </c>
    </row>
    <row r="12" spans="1:14" ht="28.5" x14ac:dyDescent="0.35">
      <c r="A12" s="12" t="s">
        <v>245</v>
      </c>
      <c r="B12" s="18" t="s">
        <v>246</v>
      </c>
      <c r="C12" s="12" t="s">
        <v>122</v>
      </c>
      <c r="D12" s="12" t="s">
        <v>33</v>
      </c>
      <c r="E12" s="12"/>
      <c r="F12" s="12" t="s">
        <v>69</v>
      </c>
      <c r="G12" s="12" t="s">
        <v>70</v>
      </c>
      <c r="H12" s="12" t="s">
        <v>198</v>
      </c>
      <c r="I12" s="12" t="s">
        <v>247</v>
      </c>
      <c r="J12" s="12" t="s">
        <v>248</v>
      </c>
      <c r="K12" s="12" t="s">
        <v>242</v>
      </c>
      <c r="L12" s="18" t="s">
        <v>209</v>
      </c>
      <c r="M12" s="18" t="s">
        <v>249</v>
      </c>
      <c r="N12" s="12" t="s">
        <v>250</v>
      </c>
    </row>
    <row r="13" spans="1:14" x14ac:dyDescent="0.35">
      <c r="A13" s="12" t="s">
        <v>251</v>
      </c>
      <c r="B13" s="18" t="s">
        <v>252</v>
      </c>
      <c r="C13" s="12" t="s">
        <v>122</v>
      </c>
      <c r="D13" s="12" t="s">
        <v>33</v>
      </c>
      <c r="E13" s="12"/>
      <c r="F13" s="12" t="s">
        <v>53</v>
      </c>
      <c r="G13" s="12" t="s">
        <v>54</v>
      </c>
      <c r="H13" s="12" t="s">
        <v>239</v>
      </c>
      <c r="I13" s="12" t="s">
        <v>253</v>
      </c>
      <c r="J13" s="12" t="s">
        <v>254</v>
      </c>
      <c r="K13" s="12" t="s">
        <v>242</v>
      </c>
      <c r="L13" s="18" t="s">
        <v>209</v>
      </c>
      <c r="M13" s="18" t="s">
        <v>255</v>
      </c>
      <c r="N13" s="12" t="s">
        <v>256</v>
      </c>
    </row>
    <row r="14" spans="1:14" x14ac:dyDescent="0.35">
      <c r="A14" s="12" t="s">
        <v>257</v>
      </c>
      <c r="B14" s="18" t="s">
        <v>258</v>
      </c>
      <c r="C14" s="12" t="s">
        <v>122</v>
      </c>
      <c r="D14" s="12" t="s">
        <v>33</v>
      </c>
      <c r="E14" s="12"/>
      <c r="F14" s="12" t="s">
        <v>53</v>
      </c>
      <c r="G14" s="12" t="s">
        <v>54</v>
      </c>
      <c r="H14" s="12" t="s">
        <v>259</v>
      </c>
      <c r="I14" s="12" t="s">
        <v>260</v>
      </c>
      <c r="J14" s="12" t="s">
        <v>261</v>
      </c>
      <c r="K14" s="12" t="s">
        <v>262</v>
      </c>
      <c r="L14" s="18" t="s">
        <v>202</v>
      </c>
      <c r="M14" s="18" t="s">
        <v>229</v>
      </c>
      <c r="N14" s="12" t="s">
        <v>204</v>
      </c>
    </row>
    <row r="15" spans="1:14" x14ac:dyDescent="0.35">
      <c r="A15" s="12" t="s">
        <v>263</v>
      </c>
      <c r="B15" s="18" t="s">
        <v>264</v>
      </c>
      <c r="C15" s="12" t="s">
        <v>122</v>
      </c>
      <c r="D15" s="12" t="s">
        <v>33</v>
      </c>
      <c r="E15" s="12"/>
      <c r="F15" s="12" t="s">
        <v>63</v>
      </c>
      <c r="G15" s="12" t="s">
        <v>64</v>
      </c>
      <c r="H15" s="12" t="s">
        <v>239</v>
      </c>
      <c r="I15" s="12" t="s">
        <v>265</v>
      </c>
      <c r="J15" s="12" t="s">
        <v>266</v>
      </c>
      <c r="K15" s="12" t="s">
        <v>262</v>
      </c>
      <c r="L15" s="18" t="s">
        <v>202</v>
      </c>
      <c r="M15" s="18" t="s">
        <v>267</v>
      </c>
      <c r="N15" s="12" t="s">
        <v>204</v>
      </c>
    </row>
    <row r="16" spans="1:14" x14ac:dyDescent="0.35">
      <c r="A16" s="12" t="s">
        <v>268</v>
      </c>
      <c r="B16" s="18" t="s">
        <v>269</v>
      </c>
      <c r="C16" s="12" t="s">
        <v>122</v>
      </c>
      <c r="D16" s="12" t="s">
        <v>33</v>
      </c>
      <c r="E16" s="12"/>
      <c r="F16" s="12" t="s">
        <v>53</v>
      </c>
      <c r="G16" s="12" t="s">
        <v>54</v>
      </c>
      <c r="H16" s="12" t="s">
        <v>198</v>
      </c>
      <c r="I16" s="12" t="s">
        <v>270</v>
      </c>
      <c r="J16" s="12" t="s">
        <v>261</v>
      </c>
      <c r="K16" s="12" t="s">
        <v>262</v>
      </c>
      <c r="L16" s="18" t="s">
        <v>202</v>
      </c>
      <c r="M16" s="18" t="s">
        <v>229</v>
      </c>
      <c r="N16" s="12" t="s">
        <v>204</v>
      </c>
    </row>
    <row r="17" spans="1:14" ht="28.5" x14ac:dyDescent="0.35">
      <c r="A17" s="12" t="s">
        <v>271</v>
      </c>
      <c r="B17" s="18" t="s">
        <v>272</v>
      </c>
      <c r="C17" s="12" t="s">
        <v>122</v>
      </c>
      <c r="D17" s="12" t="s">
        <v>33</v>
      </c>
      <c r="E17" s="12"/>
      <c r="F17" s="12" t="s">
        <v>53</v>
      </c>
      <c r="G17" s="12" t="s">
        <v>54</v>
      </c>
      <c r="H17" s="12" t="s">
        <v>259</v>
      </c>
      <c r="I17" s="12" t="s">
        <v>273</v>
      </c>
      <c r="J17" s="12" t="s">
        <v>261</v>
      </c>
      <c r="K17" s="12" t="s">
        <v>262</v>
      </c>
      <c r="L17" s="18" t="s">
        <v>202</v>
      </c>
      <c r="M17" s="18" t="s">
        <v>229</v>
      </c>
      <c r="N17" s="12" t="s">
        <v>204</v>
      </c>
    </row>
    <row r="18" spans="1:14" ht="28.5" x14ac:dyDescent="0.35">
      <c r="A18" s="12" t="s">
        <v>274</v>
      </c>
      <c r="B18" s="18" t="s">
        <v>275</v>
      </c>
      <c r="C18" s="12" t="s">
        <v>122</v>
      </c>
      <c r="D18" s="12" t="s">
        <v>33</v>
      </c>
      <c r="E18" s="12"/>
      <c r="F18" s="12" t="s">
        <v>61</v>
      </c>
      <c r="G18" s="12" t="s">
        <v>62</v>
      </c>
      <c r="H18" s="12" t="s">
        <v>198</v>
      </c>
      <c r="I18" s="12" t="s">
        <v>276</v>
      </c>
      <c r="J18" s="12" t="s">
        <v>277</v>
      </c>
      <c r="K18" s="12" t="s">
        <v>278</v>
      </c>
      <c r="L18" s="18" t="s">
        <v>202</v>
      </c>
      <c r="M18" s="18" t="s">
        <v>279</v>
      </c>
      <c r="N18" s="12" t="s">
        <v>204</v>
      </c>
    </row>
    <row r="19" spans="1:14" x14ac:dyDescent="0.35">
      <c r="A19" s="12" t="s">
        <v>280</v>
      </c>
      <c r="B19" s="18" t="s">
        <v>281</v>
      </c>
      <c r="C19" s="12" t="s">
        <v>122</v>
      </c>
      <c r="D19" s="12" t="s">
        <v>33</v>
      </c>
      <c r="E19" s="12"/>
      <c r="F19" s="12" t="s">
        <v>57</v>
      </c>
      <c r="G19" s="12" t="s">
        <v>58</v>
      </c>
      <c r="H19" s="12" t="s">
        <v>198</v>
      </c>
      <c r="I19" s="12" t="s">
        <v>282</v>
      </c>
      <c r="J19" s="12" t="s">
        <v>283</v>
      </c>
      <c r="K19" s="12" t="s">
        <v>278</v>
      </c>
      <c r="L19" s="18" t="s">
        <v>209</v>
      </c>
      <c r="M19" s="18" t="s">
        <v>284</v>
      </c>
      <c r="N19" s="12" t="s">
        <v>285</v>
      </c>
    </row>
    <row r="20" spans="1:14" x14ac:dyDescent="0.35">
      <c r="A20" s="12" t="s">
        <v>286</v>
      </c>
      <c r="B20" s="18" t="s">
        <v>287</v>
      </c>
      <c r="C20" s="12" t="s">
        <v>122</v>
      </c>
      <c r="D20" s="12" t="s">
        <v>33</v>
      </c>
      <c r="E20" s="12"/>
      <c r="F20" s="12" t="s">
        <v>53</v>
      </c>
      <c r="G20" s="12" t="s">
        <v>54</v>
      </c>
      <c r="H20" s="12" t="s">
        <v>198</v>
      </c>
      <c r="I20" s="12" t="s">
        <v>288</v>
      </c>
      <c r="J20" s="12" t="s">
        <v>289</v>
      </c>
      <c r="K20" s="12" t="s">
        <v>290</v>
      </c>
      <c r="L20" s="18" t="s">
        <v>209</v>
      </c>
      <c r="M20" s="18" t="s">
        <v>291</v>
      </c>
      <c r="N20" s="12" t="s">
        <v>292</v>
      </c>
    </row>
    <row r="21" spans="1:14" ht="28.5" x14ac:dyDescent="0.35">
      <c r="A21" s="12" t="s">
        <v>293</v>
      </c>
      <c r="B21" s="18" t="s">
        <v>294</v>
      </c>
      <c r="C21" s="12" t="s">
        <v>122</v>
      </c>
      <c r="D21" s="12" t="s">
        <v>33</v>
      </c>
      <c r="E21" s="12"/>
      <c r="F21" s="12" t="s">
        <v>67</v>
      </c>
      <c r="G21" s="12" t="s">
        <v>68</v>
      </c>
      <c r="H21" s="12" t="s">
        <v>198</v>
      </c>
      <c r="I21" s="12" t="s">
        <v>295</v>
      </c>
      <c r="J21" s="12" t="s">
        <v>296</v>
      </c>
      <c r="K21" s="12" t="s">
        <v>290</v>
      </c>
      <c r="L21" s="18" t="s">
        <v>209</v>
      </c>
      <c r="M21" s="18" t="s">
        <v>297</v>
      </c>
      <c r="N21" s="12" t="s">
        <v>298</v>
      </c>
    </row>
    <row r="22" spans="1:14" ht="28.5" x14ac:dyDescent="0.35">
      <c r="A22" s="12" t="s">
        <v>299</v>
      </c>
      <c r="B22" s="18" t="s">
        <v>300</v>
      </c>
      <c r="C22" s="12" t="s">
        <v>122</v>
      </c>
      <c r="D22" s="12" t="s">
        <v>33</v>
      </c>
      <c r="E22" s="12"/>
      <c r="F22" s="12" t="s">
        <v>55</v>
      </c>
      <c r="G22" s="12" t="s">
        <v>56</v>
      </c>
      <c r="H22" s="12" t="s">
        <v>239</v>
      </c>
      <c r="I22" s="12" t="s">
        <v>301</v>
      </c>
      <c r="J22" s="12" t="s">
        <v>302</v>
      </c>
      <c r="K22" s="12" t="s">
        <v>290</v>
      </c>
      <c r="L22" s="18" t="s">
        <v>202</v>
      </c>
      <c r="M22" s="18" t="s">
        <v>303</v>
      </c>
      <c r="N22" s="12" t="s">
        <v>204</v>
      </c>
    </row>
    <row r="23" spans="1:14" ht="42.5" x14ac:dyDescent="0.35">
      <c r="A23" s="12" t="s">
        <v>304</v>
      </c>
      <c r="B23" s="18" t="s">
        <v>305</v>
      </c>
      <c r="C23" s="12" t="s">
        <v>122</v>
      </c>
      <c r="D23" s="12" t="s">
        <v>33</v>
      </c>
      <c r="E23" s="12"/>
      <c r="F23" s="12" t="s">
        <v>53</v>
      </c>
      <c r="G23" s="12" t="s">
        <v>54</v>
      </c>
      <c r="H23" s="12" t="s">
        <v>198</v>
      </c>
      <c r="I23" s="12" t="s">
        <v>306</v>
      </c>
      <c r="J23" s="12" t="s">
        <v>307</v>
      </c>
      <c r="K23" s="12" t="s">
        <v>308</v>
      </c>
      <c r="L23" s="18" t="s">
        <v>202</v>
      </c>
      <c r="M23" s="18" t="s">
        <v>229</v>
      </c>
      <c r="N23" s="12" t="s">
        <v>204</v>
      </c>
    </row>
    <row r="24" spans="1:14" ht="28.5" x14ac:dyDescent="0.35">
      <c r="A24" s="12" t="s">
        <v>309</v>
      </c>
      <c r="B24" s="18" t="s">
        <v>310</v>
      </c>
      <c r="C24" s="12" t="s">
        <v>122</v>
      </c>
      <c r="D24" s="12" t="s">
        <v>33</v>
      </c>
      <c r="E24" s="12"/>
      <c r="F24" s="12" t="s">
        <v>59</v>
      </c>
      <c r="G24" s="12" t="s">
        <v>60</v>
      </c>
      <c r="H24" s="12" t="s">
        <v>259</v>
      </c>
      <c r="I24" s="12" t="s">
        <v>311</v>
      </c>
      <c r="J24" s="12" t="s">
        <v>312</v>
      </c>
      <c r="K24" s="12" t="s">
        <v>308</v>
      </c>
      <c r="L24" s="18" t="s">
        <v>202</v>
      </c>
      <c r="M24" s="18" t="s">
        <v>313</v>
      </c>
      <c r="N24" s="12" t="s">
        <v>204</v>
      </c>
    </row>
    <row r="25" spans="1:14" x14ac:dyDescent="0.35">
      <c r="A25" s="12" t="s">
        <v>314</v>
      </c>
      <c r="B25" s="18" t="s">
        <v>315</v>
      </c>
      <c r="C25" s="12" t="s">
        <v>122</v>
      </c>
      <c r="D25" s="12" t="s">
        <v>33</v>
      </c>
      <c r="E25" s="12"/>
      <c r="F25" s="12" t="s">
        <v>61</v>
      </c>
      <c r="G25" s="12" t="s">
        <v>62</v>
      </c>
      <c r="H25" s="12" t="s">
        <v>198</v>
      </c>
      <c r="I25" s="12" t="s">
        <v>316</v>
      </c>
      <c r="J25" s="12" t="s">
        <v>317</v>
      </c>
      <c r="K25" s="12" t="s">
        <v>308</v>
      </c>
      <c r="L25" s="18" t="s">
        <v>202</v>
      </c>
      <c r="M25" s="18" t="s">
        <v>318</v>
      </c>
      <c r="N25" s="12" t="s">
        <v>204</v>
      </c>
    </row>
    <row r="26" spans="1:14" x14ac:dyDescent="0.35">
      <c r="A26" s="12" t="s">
        <v>319</v>
      </c>
      <c r="B26" s="18" t="s">
        <v>320</v>
      </c>
      <c r="C26" s="12" t="s">
        <v>122</v>
      </c>
      <c r="D26" s="12" t="s">
        <v>33</v>
      </c>
      <c r="E26" s="12"/>
      <c r="F26" s="12" t="s">
        <v>59</v>
      </c>
      <c r="G26" s="12" t="s">
        <v>60</v>
      </c>
      <c r="H26" s="12" t="s">
        <v>259</v>
      </c>
      <c r="I26" s="12" t="s">
        <v>321</v>
      </c>
      <c r="J26" s="12" t="s">
        <v>322</v>
      </c>
      <c r="K26" s="12" t="s">
        <v>308</v>
      </c>
      <c r="L26" s="18" t="s">
        <v>202</v>
      </c>
      <c r="M26" s="18" t="s">
        <v>313</v>
      </c>
      <c r="N26" s="12" t="s">
        <v>204</v>
      </c>
    </row>
    <row r="27" spans="1:14" ht="28.5" x14ac:dyDescent="0.35">
      <c r="A27" s="12" t="s">
        <v>323</v>
      </c>
      <c r="B27" s="18" t="s">
        <v>324</v>
      </c>
      <c r="C27" s="12" t="s">
        <v>122</v>
      </c>
      <c r="D27" s="12" t="s">
        <v>33</v>
      </c>
      <c r="E27" s="12"/>
      <c r="F27" s="12" t="s">
        <v>53</v>
      </c>
      <c r="G27" s="12" t="s">
        <v>54</v>
      </c>
      <c r="H27" s="12" t="s">
        <v>198</v>
      </c>
      <c r="I27" s="12" t="s">
        <v>306</v>
      </c>
      <c r="J27" s="12" t="s">
        <v>307</v>
      </c>
      <c r="K27" s="12" t="s">
        <v>308</v>
      </c>
      <c r="L27" s="18" t="s">
        <v>209</v>
      </c>
      <c r="M27" s="18" t="s">
        <v>325</v>
      </c>
      <c r="N27" s="12" t="s">
        <v>326</v>
      </c>
    </row>
    <row r="28" spans="1:14" x14ac:dyDescent="0.35">
      <c r="A28" s="12" t="s">
        <v>327</v>
      </c>
      <c r="B28" s="18" t="s">
        <v>328</v>
      </c>
      <c r="C28" s="12" t="s">
        <v>122</v>
      </c>
      <c r="D28" s="12" t="s">
        <v>33</v>
      </c>
      <c r="E28" s="12"/>
      <c r="F28" s="12" t="s">
        <v>53</v>
      </c>
      <c r="G28" s="12" t="s">
        <v>54</v>
      </c>
      <c r="H28" s="12" t="s">
        <v>198</v>
      </c>
      <c r="I28" s="12" t="s">
        <v>329</v>
      </c>
      <c r="J28" s="12" t="s">
        <v>330</v>
      </c>
      <c r="K28" s="12" t="s">
        <v>331</v>
      </c>
      <c r="L28" s="18" t="s">
        <v>202</v>
      </c>
      <c r="M28" s="18" t="s">
        <v>229</v>
      </c>
      <c r="N28" s="12" t="s">
        <v>204</v>
      </c>
    </row>
    <row r="29" spans="1:14" ht="28.5" x14ac:dyDescent="0.35">
      <c r="A29" s="12" t="s">
        <v>332</v>
      </c>
      <c r="B29" s="18" t="s">
        <v>333</v>
      </c>
      <c r="C29" s="12" t="s">
        <v>122</v>
      </c>
      <c r="D29" s="12" t="s">
        <v>33</v>
      </c>
      <c r="E29" s="12"/>
      <c r="F29" s="12" t="s">
        <v>53</v>
      </c>
      <c r="G29" s="12" t="s">
        <v>54</v>
      </c>
      <c r="H29" s="12" t="s">
        <v>259</v>
      </c>
      <c r="I29" s="12" t="s">
        <v>334</v>
      </c>
      <c r="J29" s="12" t="s">
        <v>335</v>
      </c>
      <c r="K29" s="12" t="s">
        <v>331</v>
      </c>
      <c r="L29" s="18" t="s">
        <v>202</v>
      </c>
      <c r="M29" s="18" t="s">
        <v>336</v>
      </c>
      <c r="N29" s="12" t="s">
        <v>204</v>
      </c>
    </row>
    <row r="30" spans="1:14" ht="28.5" x14ac:dyDescent="0.35">
      <c r="A30" s="18" t="s">
        <v>2401</v>
      </c>
      <c r="B30" s="18" t="s">
        <v>2402</v>
      </c>
      <c r="C30" s="12" t="s">
        <v>122</v>
      </c>
      <c r="D30" s="18" t="s">
        <v>33</v>
      </c>
      <c r="E30" s="18"/>
      <c r="F30" s="12" t="s">
        <v>57</v>
      </c>
      <c r="G30" s="12" t="s">
        <v>58</v>
      </c>
      <c r="H30" s="12" t="s">
        <v>259</v>
      </c>
      <c r="I30" s="12" t="s">
        <v>2404</v>
      </c>
      <c r="J30" s="12" t="s">
        <v>2405</v>
      </c>
      <c r="K30" s="12" t="s">
        <v>331</v>
      </c>
      <c r="L30" s="12" t="s">
        <v>202</v>
      </c>
      <c r="M30" s="18" t="s">
        <v>2406</v>
      </c>
      <c r="N30" s="12" t="s">
        <v>204</v>
      </c>
    </row>
    <row r="31" spans="1:14" x14ac:dyDescent="0.35">
      <c r="A31" s="12" t="s">
        <v>337</v>
      </c>
      <c r="B31" s="18" t="s">
        <v>338</v>
      </c>
      <c r="C31" s="12" t="s">
        <v>122</v>
      </c>
      <c r="D31" s="12" t="s">
        <v>33</v>
      </c>
      <c r="E31" s="12"/>
      <c r="F31" s="12" t="s">
        <v>63</v>
      </c>
      <c r="G31" s="12" t="s">
        <v>64</v>
      </c>
      <c r="H31" s="12" t="s">
        <v>198</v>
      </c>
      <c r="I31" s="12" t="s">
        <v>339</v>
      </c>
      <c r="J31" s="12" t="s">
        <v>340</v>
      </c>
      <c r="K31" s="12" t="s">
        <v>341</v>
      </c>
      <c r="L31" s="18" t="s">
        <v>202</v>
      </c>
      <c r="M31" s="18" t="s">
        <v>342</v>
      </c>
      <c r="N31" s="12" t="s">
        <v>204</v>
      </c>
    </row>
    <row r="32" spans="1:14" x14ac:dyDescent="0.35">
      <c r="A32" s="12" t="s">
        <v>343</v>
      </c>
      <c r="B32" s="18" t="s">
        <v>344</v>
      </c>
      <c r="C32" s="12" t="s">
        <v>122</v>
      </c>
      <c r="D32" s="12" t="s">
        <v>33</v>
      </c>
      <c r="E32" s="12"/>
      <c r="F32" s="12" t="s">
        <v>53</v>
      </c>
      <c r="G32" s="12" t="s">
        <v>54</v>
      </c>
      <c r="H32" s="12" t="s">
        <v>198</v>
      </c>
      <c r="I32" s="12" t="s">
        <v>345</v>
      </c>
      <c r="J32" s="12" t="s">
        <v>346</v>
      </c>
      <c r="K32" s="12" t="s">
        <v>341</v>
      </c>
      <c r="L32" s="18" t="s">
        <v>202</v>
      </c>
      <c r="M32" s="18" t="s">
        <v>229</v>
      </c>
      <c r="N32" s="12" t="s">
        <v>204</v>
      </c>
    </row>
    <row r="33" spans="1:14" ht="28.5" x14ac:dyDescent="0.35">
      <c r="A33" s="12" t="s">
        <v>347</v>
      </c>
      <c r="B33" s="18" t="s">
        <v>348</v>
      </c>
      <c r="C33" s="12" t="s">
        <v>122</v>
      </c>
      <c r="D33" s="12" t="s">
        <v>33</v>
      </c>
      <c r="E33" s="12"/>
      <c r="F33" s="12" t="s">
        <v>53</v>
      </c>
      <c r="G33" s="12" t="s">
        <v>54</v>
      </c>
      <c r="H33" s="12" t="s">
        <v>198</v>
      </c>
      <c r="I33" s="12" t="s">
        <v>349</v>
      </c>
      <c r="J33" s="12" t="s">
        <v>350</v>
      </c>
      <c r="K33" s="12" t="s">
        <v>341</v>
      </c>
      <c r="L33" s="18" t="s">
        <v>209</v>
      </c>
      <c r="M33" s="18" t="s">
        <v>351</v>
      </c>
      <c r="N33" s="12" t="s">
        <v>352</v>
      </c>
    </row>
    <row r="34" spans="1:14" x14ac:dyDescent="0.35">
      <c r="A34" s="12" t="s">
        <v>353</v>
      </c>
      <c r="B34" s="18" t="s">
        <v>354</v>
      </c>
      <c r="C34" s="12" t="s">
        <v>122</v>
      </c>
      <c r="D34" s="12" t="s">
        <v>33</v>
      </c>
      <c r="E34" s="12"/>
      <c r="F34" s="12" t="s">
        <v>61</v>
      </c>
      <c r="G34" s="12" t="s">
        <v>62</v>
      </c>
      <c r="H34" s="12" t="s">
        <v>259</v>
      </c>
      <c r="I34" s="12" t="s">
        <v>355</v>
      </c>
      <c r="J34" s="12" t="s">
        <v>356</v>
      </c>
      <c r="K34" s="12" t="s">
        <v>341</v>
      </c>
      <c r="L34" s="18" t="s">
        <v>202</v>
      </c>
      <c r="M34" s="18" t="s">
        <v>318</v>
      </c>
      <c r="N34" s="12" t="s">
        <v>204</v>
      </c>
    </row>
    <row r="35" spans="1:14" x14ac:dyDescent="0.35">
      <c r="A35" s="12" t="s">
        <v>357</v>
      </c>
      <c r="B35" s="18" t="s">
        <v>358</v>
      </c>
      <c r="C35" s="12" t="s">
        <v>122</v>
      </c>
      <c r="D35" s="12" t="s">
        <v>33</v>
      </c>
      <c r="E35" s="12"/>
      <c r="F35" s="12" t="s">
        <v>55</v>
      </c>
      <c r="G35" s="12" t="s">
        <v>56</v>
      </c>
      <c r="H35" s="12" t="s">
        <v>198</v>
      </c>
      <c r="I35" s="12" t="s">
        <v>359</v>
      </c>
      <c r="J35" s="12" t="s">
        <v>360</v>
      </c>
      <c r="K35" s="12" t="s">
        <v>341</v>
      </c>
      <c r="L35" s="18" t="s">
        <v>209</v>
      </c>
      <c r="M35" s="18" t="s">
        <v>361</v>
      </c>
      <c r="N35" s="12" t="s">
        <v>362</v>
      </c>
    </row>
    <row r="36" spans="1:14" ht="28.5" x14ac:dyDescent="0.35">
      <c r="A36" s="12" t="s">
        <v>363</v>
      </c>
      <c r="B36" s="18" t="s">
        <v>364</v>
      </c>
      <c r="C36" s="12" t="s">
        <v>122</v>
      </c>
      <c r="D36" s="12" t="s">
        <v>33</v>
      </c>
      <c r="E36" s="12"/>
      <c r="F36" s="12" t="s">
        <v>53</v>
      </c>
      <c r="G36" s="12" t="s">
        <v>54</v>
      </c>
      <c r="H36" s="12" t="s">
        <v>259</v>
      </c>
      <c r="I36" s="12" t="s">
        <v>365</v>
      </c>
      <c r="J36" s="12" t="s">
        <v>366</v>
      </c>
      <c r="K36" s="12" t="s">
        <v>341</v>
      </c>
      <c r="L36" s="18" t="s">
        <v>202</v>
      </c>
      <c r="M36" s="18" t="s">
        <v>229</v>
      </c>
      <c r="N36" s="12" t="s">
        <v>204</v>
      </c>
    </row>
    <row r="37" spans="1:14" ht="28.5" x14ac:dyDescent="0.35">
      <c r="A37" s="12" t="s">
        <v>367</v>
      </c>
      <c r="B37" s="18" t="s">
        <v>368</v>
      </c>
      <c r="C37" s="12" t="s">
        <v>122</v>
      </c>
      <c r="D37" s="12" t="s">
        <v>33</v>
      </c>
      <c r="E37" s="12"/>
      <c r="F37" s="12" t="s">
        <v>55</v>
      </c>
      <c r="G37" s="12" t="s">
        <v>56</v>
      </c>
      <c r="H37" s="12" t="s">
        <v>198</v>
      </c>
      <c r="I37" s="12" t="s">
        <v>369</v>
      </c>
      <c r="J37" s="12" t="s">
        <v>370</v>
      </c>
      <c r="K37" s="12" t="s">
        <v>341</v>
      </c>
      <c r="L37" s="18" t="s">
        <v>202</v>
      </c>
      <c r="M37" s="18" t="s">
        <v>371</v>
      </c>
      <c r="N37" s="12" t="s">
        <v>204</v>
      </c>
    </row>
    <row r="38" spans="1:14" x14ac:dyDescent="0.35">
      <c r="A38" s="12" t="s">
        <v>372</v>
      </c>
      <c r="B38" s="18" t="s">
        <v>373</v>
      </c>
      <c r="C38" s="12" t="s">
        <v>122</v>
      </c>
      <c r="D38" s="12" t="s">
        <v>33</v>
      </c>
      <c r="E38" s="12"/>
      <c r="F38" s="12" t="s">
        <v>69</v>
      </c>
      <c r="G38" s="12" t="s">
        <v>70</v>
      </c>
      <c r="H38" s="12" t="s">
        <v>198</v>
      </c>
      <c r="I38" s="12" t="s">
        <v>369</v>
      </c>
      <c r="J38" s="12" t="s">
        <v>374</v>
      </c>
      <c r="K38" s="12" t="s">
        <v>341</v>
      </c>
      <c r="L38" s="18" t="s">
        <v>202</v>
      </c>
      <c r="M38" s="18" t="s">
        <v>375</v>
      </c>
      <c r="N38" s="12" t="s">
        <v>204</v>
      </c>
    </row>
    <row r="39" spans="1:14" ht="28.5" x14ac:dyDescent="0.35">
      <c r="A39" s="12" t="s">
        <v>376</v>
      </c>
      <c r="B39" s="18" t="s">
        <v>377</v>
      </c>
      <c r="C39" s="12" t="s">
        <v>122</v>
      </c>
      <c r="D39" s="12" t="s">
        <v>33</v>
      </c>
      <c r="E39" s="12"/>
      <c r="F39" s="12" t="s">
        <v>53</v>
      </c>
      <c r="G39" s="12" t="s">
        <v>54</v>
      </c>
      <c r="H39" s="12" t="s">
        <v>239</v>
      </c>
      <c r="I39" s="12" t="s">
        <v>378</v>
      </c>
      <c r="J39" s="12" t="s">
        <v>379</v>
      </c>
      <c r="K39" s="12" t="s">
        <v>341</v>
      </c>
      <c r="L39" s="18" t="s">
        <v>202</v>
      </c>
      <c r="M39" s="18" t="s">
        <v>380</v>
      </c>
      <c r="N39" s="12" t="s">
        <v>204</v>
      </c>
    </row>
    <row r="40" spans="1:14" ht="28.5" x14ac:dyDescent="0.35">
      <c r="A40" s="12" t="s">
        <v>381</v>
      </c>
      <c r="B40" s="18" t="s">
        <v>382</v>
      </c>
      <c r="C40" s="12" t="s">
        <v>122</v>
      </c>
      <c r="D40" s="12" t="s">
        <v>33</v>
      </c>
      <c r="E40" s="12"/>
      <c r="F40" s="12" t="s">
        <v>53</v>
      </c>
      <c r="G40" s="12" t="s">
        <v>54</v>
      </c>
      <c r="H40" s="12" t="s">
        <v>259</v>
      </c>
      <c r="I40" s="12" t="s">
        <v>369</v>
      </c>
      <c r="J40" s="12" t="s">
        <v>383</v>
      </c>
      <c r="K40" s="12" t="s">
        <v>341</v>
      </c>
      <c r="L40" s="18" t="s">
        <v>202</v>
      </c>
      <c r="M40" s="18" t="s">
        <v>229</v>
      </c>
      <c r="N40" s="12" t="s">
        <v>204</v>
      </c>
    </row>
    <row r="41" spans="1:14" ht="28.5" x14ac:dyDescent="0.35">
      <c r="A41" s="12" t="s">
        <v>384</v>
      </c>
      <c r="B41" s="18" t="s">
        <v>385</v>
      </c>
      <c r="C41" s="12" t="s">
        <v>122</v>
      </c>
      <c r="D41" s="12" t="s">
        <v>33</v>
      </c>
      <c r="E41" s="12"/>
      <c r="F41" s="12" t="s">
        <v>55</v>
      </c>
      <c r="G41" s="12" t="s">
        <v>56</v>
      </c>
      <c r="H41" s="12" t="s">
        <v>386</v>
      </c>
      <c r="I41" s="12" t="s">
        <v>369</v>
      </c>
      <c r="J41" s="12" t="s">
        <v>387</v>
      </c>
      <c r="K41" s="12" t="s">
        <v>341</v>
      </c>
      <c r="L41" s="18" t="s">
        <v>202</v>
      </c>
      <c r="M41" s="18" t="s">
        <v>388</v>
      </c>
      <c r="N41" s="12" t="s">
        <v>204</v>
      </c>
    </row>
    <row r="42" spans="1:14" ht="42.5" x14ac:dyDescent="0.35">
      <c r="A42" s="12" t="s">
        <v>389</v>
      </c>
      <c r="B42" s="18" t="s">
        <v>390</v>
      </c>
      <c r="C42" s="12" t="s">
        <v>122</v>
      </c>
      <c r="D42" s="12" t="s">
        <v>33</v>
      </c>
      <c r="E42" s="12"/>
      <c r="F42" s="12" t="s">
        <v>71</v>
      </c>
      <c r="G42" s="12" t="s">
        <v>72</v>
      </c>
      <c r="H42" s="12" t="s">
        <v>198</v>
      </c>
      <c r="I42" s="12" t="s">
        <v>391</v>
      </c>
      <c r="J42" s="12" t="s">
        <v>392</v>
      </c>
      <c r="K42" s="12" t="s">
        <v>393</v>
      </c>
      <c r="L42" s="18" t="s">
        <v>202</v>
      </c>
      <c r="M42" s="18" t="s">
        <v>394</v>
      </c>
      <c r="N42" s="12" t="s">
        <v>204</v>
      </c>
    </row>
    <row r="43" spans="1:14" ht="28.5" x14ac:dyDescent="0.35">
      <c r="A43" s="12" t="s">
        <v>395</v>
      </c>
      <c r="B43" s="18" t="s">
        <v>396</v>
      </c>
      <c r="C43" s="12" t="s">
        <v>122</v>
      </c>
      <c r="D43" s="12" t="s">
        <v>33</v>
      </c>
      <c r="E43" s="12"/>
      <c r="F43" s="12" t="s">
        <v>57</v>
      </c>
      <c r="G43" s="12" t="s">
        <v>58</v>
      </c>
      <c r="H43" s="12" t="s">
        <v>239</v>
      </c>
      <c r="I43" s="12" t="s">
        <v>397</v>
      </c>
      <c r="J43" s="12" t="s">
        <v>398</v>
      </c>
      <c r="K43" s="12" t="s">
        <v>399</v>
      </c>
      <c r="L43" s="18" t="s">
        <v>202</v>
      </c>
      <c r="M43" s="18" t="s">
        <v>400</v>
      </c>
      <c r="N43" s="12" t="s">
        <v>204</v>
      </c>
    </row>
    <row r="44" spans="1:14" ht="42.5" x14ac:dyDescent="0.35">
      <c r="A44" s="12" t="s">
        <v>401</v>
      </c>
      <c r="B44" s="18" t="s">
        <v>402</v>
      </c>
      <c r="C44" s="12" t="s">
        <v>122</v>
      </c>
      <c r="D44" s="12" t="s">
        <v>33</v>
      </c>
      <c r="E44" s="12"/>
      <c r="F44" s="12" t="s">
        <v>53</v>
      </c>
      <c r="G44" s="12" t="s">
        <v>54</v>
      </c>
      <c r="H44" s="12" t="s">
        <v>259</v>
      </c>
      <c r="I44" s="12" t="s">
        <v>403</v>
      </c>
      <c r="J44" s="12" t="s">
        <v>404</v>
      </c>
      <c r="K44" s="12" t="s">
        <v>399</v>
      </c>
      <c r="L44" s="18" t="s">
        <v>202</v>
      </c>
      <c r="M44" s="18" t="s">
        <v>229</v>
      </c>
      <c r="N44" s="12" t="s">
        <v>204</v>
      </c>
    </row>
    <row r="45" spans="1:14" ht="28.5" x14ac:dyDescent="0.35">
      <c r="A45" s="12" t="s">
        <v>405</v>
      </c>
      <c r="B45" s="18" t="s">
        <v>406</v>
      </c>
      <c r="C45" s="12" t="s">
        <v>122</v>
      </c>
      <c r="D45" s="12" t="s">
        <v>33</v>
      </c>
      <c r="E45" s="12"/>
      <c r="F45" s="12" t="s">
        <v>59</v>
      </c>
      <c r="G45" s="12" t="s">
        <v>60</v>
      </c>
      <c r="H45" s="12" t="s">
        <v>198</v>
      </c>
      <c r="I45" s="12" t="s">
        <v>407</v>
      </c>
      <c r="J45" s="12" t="s">
        <v>408</v>
      </c>
      <c r="K45" s="12" t="s">
        <v>409</v>
      </c>
      <c r="L45" s="18" t="s">
        <v>202</v>
      </c>
      <c r="M45" s="18" t="s">
        <v>313</v>
      </c>
      <c r="N45" s="12" t="s">
        <v>204</v>
      </c>
    </row>
    <row r="46" spans="1:14" ht="28.5" x14ac:dyDescent="0.35">
      <c r="A46" s="12" t="s">
        <v>410</v>
      </c>
      <c r="B46" s="18" t="s">
        <v>411</v>
      </c>
      <c r="C46" s="12" t="s">
        <v>122</v>
      </c>
      <c r="D46" s="12" t="s">
        <v>33</v>
      </c>
      <c r="E46" s="12"/>
      <c r="F46" s="12" t="s">
        <v>57</v>
      </c>
      <c r="G46" s="12" t="s">
        <v>58</v>
      </c>
      <c r="H46" s="12" t="s">
        <v>198</v>
      </c>
      <c r="I46" s="12" t="s">
        <v>412</v>
      </c>
      <c r="J46" s="12" t="s">
        <v>413</v>
      </c>
      <c r="K46" s="12" t="s">
        <v>409</v>
      </c>
      <c r="L46" s="18" t="s">
        <v>202</v>
      </c>
      <c r="M46" s="18" t="s">
        <v>414</v>
      </c>
      <c r="N46" s="12" t="s">
        <v>204</v>
      </c>
    </row>
    <row r="47" spans="1:14" ht="28.5" x14ac:dyDescent="0.35">
      <c r="A47" s="12" t="s">
        <v>415</v>
      </c>
      <c r="B47" s="18" t="s">
        <v>416</v>
      </c>
      <c r="C47" s="12" t="s">
        <v>122</v>
      </c>
      <c r="D47" s="12" t="s">
        <v>38</v>
      </c>
      <c r="E47" s="12"/>
      <c r="F47" s="12" t="s">
        <v>59</v>
      </c>
      <c r="G47" s="12" t="s">
        <v>60</v>
      </c>
      <c r="H47" s="12" t="s">
        <v>198</v>
      </c>
      <c r="I47" s="12" t="s">
        <v>417</v>
      </c>
      <c r="J47" s="12" t="s">
        <v>418</v>
      </c>
      <c r="K47" s="12" t="s">
        <v>409</v>
      </c>
      <c r="L47" s="18" t="s">
        <v>209</v>
      </c>
      <c r="M47" s="18" t="s">
        <v>419</v>
      </c>
      <c r="N47" s="12" t="s">
        <v>420</v>
      </c>
    </row>
    <row r="48" spans="1:14" ht="28.5" x14ac:dyDescent="0.35">
      <c r="A48" s="12" t="s">
        <v>421</v>
      </c>
      <c r="B48" s="18" t="s">
        <v>422</v>
      </c>
      <c r="C48" s="12" t="s">
        <v>122</v>
      </c>
      <c r="D48" s="12" t="s">
        <v>33</v>
      </c>
      <c r="E48" s="12"/>
      <c r="F48" s="12" t="s">
        <v>53</v>
      </c>
      <c r="G48" s="12" t="s">
        <v>54</v>
      </c>
      <c r="H48" s="12" t="s">
        <v>259</v>
      </c>
      <c r="I48" s="12" t="s">
        <v>423</v>
      </c>
      <c r="J48" s="12" t="s">
        <v>424</v>
      </c>
      <c r="K48" s="12" t="s">
        <v>425</v>
      </c>
      <c r="L48" s="18" t="s">
        <v>202</v>
      </c>
      <c r="M48" s="18" t="s">
        <v>229</v>
      </c>
      <c r="N48" s="12" t="s">
        <v>204</v>
      </c>
    </row>
    <row r="49" spans="1:14" ht="42.5" x14ac:dyDescent="0.35">
      <c r="A49" s="12" t="s">
        <v>426</v>
      </c>
      <c r="B49" s="18" t="s">
        <v>427</v>
      </c>
      <c r="C49" s="12" t="s">
        <v>122</v>
      </c>
      <c r="D49" s="12" t="s">
        <v>33</v>
      </c>
      <c r="E49" s="12"/>
      <c r="F49" s="12" t="s">
        <v>69</v>
      </c>
      <c r="G49" s="12" t="s">
        <v>70</v>
      </c>
      <c r="H49" s="12" t="s">
        <v>198</v>
      </c>
      <c r="I49" s="12" t="s">
        <v>428</v>
      </c>
      <c r="J49" s="12" t="s">
        <v>429</v>
      </c>
      <c r="K49" s="12" t="s">
        <v>430</v>
      </c>
      <c r="L49" s="18" t="s">
        <v>216</v>
      </c>
      <c r="M49" s="18" t="s">
        <v>431</v>
      </c>
      <c r="N49" s="12" t="s">
        <v>432</v>
      </c>
    </row>
    <row r="50" spans="1:14" x14ac:dyDescent="0.35">
      <c r="A50" s="12" t="s">
        <v>433</v>
      </c>
      <c r="B50" s="18" t="s">
        <v>434</v>
      </c>
      <c r="C50" s="12" t="s">
        <v>122</v>
      </c>
      <c r="D50" s="12" t="s">
        <v>33</v>
      </c>
      <c r="E50" s="12"/>
      <c r="F50" s="12" t="s">
        <v>53</v>
      </c>
      <c r="G50" s="12" t="s">
        <v>54</v>
      </c>
      <c r="H50" s="12" t="s">
        <v>259</v>
      </c>
      <c r="I50" s="12" t="s">
        <v>435</v>
      </c>
      <c r="J50" s="12" t="s">
        <v>436</v>
      </c>
      <c r="K50" s="12" t="s">
        <v>430</v>
      </c>
      <c r="L50" s="18" t="s">
        <v>202</v>
      </c>
      <c r="M50" s="18" t="s">
        <v>229</v>
      </c>
      <c r="N50" s="12" t="s">
        <v>204</v>
      </c>
    </row>
    <row r="51" spans="1:14" ht="28.5" x14ac:dyDescent="0.35">
      <c r="A51" s="12" t="s">
        <v>437</v>
      </c>
      <c r="B51" s="18" t="s">
        <v>438</v>
      </c>
      <c r="C51" s="12" t="s">
        <v>122</v>
      </c>
      <c r="D51" s="12" t="s">
        <v>33</v>
      </c>
      <c r="E51" s="12"/>
      <c r="F51" s="12" t="s">
        <v>57</v>
      </c>
      <c r="G51" s="12" t="s">
        <v>58</v>
      </c>
      <c r="H51" s="12" t="s">
        <v>239</v>
      </c>
      <c r="I51" s="12" t="s">
        <v>439</v>
      </c>
      <c r="J51" s="12" t="s">
        <v>440</v>
      </c>
      <c r="K51" s="12" t="s">
        <v>430</v>
      </c>
      <c r="L51" s="18" t="s">
        <v>202</v>
      </c>
      <c r="M51" s="18" t="s">
        <v>441</v>
      </c>
      <c r="N51" s="12" t="s">
        <v>204</v>
      </c>
    </row>
    <row r="52" spans="1:14" x14ac:dyDescent="0.35">
      <c r="A52" s="12" t="s">
        <v>442</v>
      </c>
      <c r="B52" s="18" t="s">
        <v>443</v>
      </c>
      <c r="C52" s="12" t="s">
        <v>122</v>
      </c>
      <c r="D52" s="12" t="s">
        <v>33</v>
      </c>
      <c r="E52" s="12"/>
      <c r="F52" s="12" t="s">
        <v>53</v>
      </c>
      <c r="G52" s="12" t="s">
        <v>54</v>
      </c>
      <c r="H52" s="12" t="s">
        <v>198</v>
      </c>
      <c r="I52" s="12" t="s">
        <v>435</v>
      </c>
      <c r="J52" s="12" t="s">
        <v>436</v>
      </c>
      <c r="K52" s="12" t="s">
        <v>430</v>
      </c>
      <c r="L52" s="18" t="s">
        <v>209</v>
      </c>
      <c r="M52" s="18" t="s">
        <v>444</v>
      </c>
      <c r="N52" s="12" t="s">
        <v>445</v>
      </c>
    </row>
    <row r="53" spans="1:14" ht="42.5" x14ac:dyDescent="0.35">
      <c r="A53" s="12" t="s">
        <v>446</v>
      </c>
      <c r="B53" s="18" t="s">
        <v>447</v>
      </c>
      <c r="C53" s="12" t="s">
        <v>122</v>
      </c>
      <c r="D53" s="12" t="s">
        <v>33</v>
      </c>
      <c r="E53" s="12"/>
      <c r="F53" s="12" t="s">
        <v>59</v>
      </c>
      <c r="G53" s="12" t="s">
        <v>60</v>
      </c>
      <c r="H53" s="12" t="s">
        <v>239</v>
      </c>
      <c r="I53" s="12" t="s">
        <v>448</v>
      </c>
      <c r="J53" s="12" t="s">
        <v>449</v>
      </c>
      <c r="K53" s="12" t="s">
        <v>430</v>
      </c>
      <c r="L53" s="18" t="s">
        <v>202</v>
      </c>
      <c r="M53" s="18" t="s">
        <v>450</v>
      </c>
      <c r="N53" s="12" t="s">
        <v>204</v>
      </c>
    </row>
    <row r="54" spans="1:14" ht="42.5" x14ac:dyDescent="0.35">
      <c r="A54" s="12" t="s">
        <v>451</v>
      </c>
      <c r="B54" s="18" t="s">
        <v>452</v>
      </c>
      <c r="C54" s="12" t="s">
        <v>122</v>
      </c>
      <c r="D54" s="12" t="s">
        <v>33</v>
      </c>
      <c r="E54" s="12"/>
      <c r="F54" s="12" t="s">
        <v>61</v>
      </c>
      <c r="G54" s="12" t="s">
        <v>62</v>
      </c>
      <c r="H54" s="12" t="s">
        <v>198</v>
      </c>
      <c r="I54" s="12" t="s">
        <v>435</v>
      </c>
      <c r="J54" s="12" t="s">
        <v>436</v>
      </c>
      <c r="K54" s="12" t="s">
        <v>430</v>
      </c>
      <c r="L54" s="18" t="s">
        <v>202</v>
      </c>
      <c r="M54" s="18" t="s">
        <v>318</v>
      </c>
      <c r="N54" s="12" t="s">
        <v>204</v>
      </c>
    </row>
    <row r="55" spans="1:14" ht="42.5" x14ac:dyDescent="0.35">
      <c r="A55" s="18" t="s">
        <v>2588</v>
      </c>
      <c r="B55" s="18" t="s">
        <v>2589</v>
      </c>
      <c r="C55" s="12" t="s">
        <v>122</v>
      </c>
      <c r="D55" s="18" t="s">
        <v>34</v>
      </c>
      <c r="E55" s="18"/>
      <c r="F55" s="12" t="s">
        <v>65</v>
      </c>
      <c r="G55" s="12" t="s">
        <v>66</v>
      </c>
      <c r="H55" s="12" t="s">
        <v>259</v>
      </c>
      <c r="I55" s="12" t="s">
        <v>2590</v>
      </c>
      <c r="J55" s="12" t="s">
        <v>2591</v>
      </c>
      <c r="K55" s="12" t="s">
        <v>430</v>
      </c>
      <c r="L55" s="12" t="s">
        <v>216</v>
      </c>
      <c r="M55" s="18" t="s">
        <v>4708</v>
      </c>
      <c r="N55" s="18" t="s">
        <v>4709</v>
      </c>
    </row>
    <row r="56" spans="1:14" x14ac:dyDescent="0.35">
      <c r="A56" s="12" t="s">
        <v>453</v>
      </c>
      <c r="B56" s="18" t="s">
        <v>454</v>
      </c>
      <c r="C56" s="12" t="s">
        <v>122</v>
      </c>
      <c r="D56" s="12" t="s">
        <v>33</v>
      </c>
      <c r="E56" s="12"/>
      <c r="F56" s="12" t="s">
        <v>55</v>
      </c>
      <c r="G56" s="12" t="s">
        <v>56</v>
      </c>
      <c r="H56" s="12" t="s">
        <v>386</v>
      </c>
      <c r="I56" s="12" t="s">
        <v>455</v>
      </c>
      <c r="J56" s="12" t="s">
        <v>456</v>
      </c>
      <c r="K56" s="12" t="s">
        <v>457</v>
      </c>
      <c r="L56" s="18" t="s">
        <v>202</v>
      </c>
      <c r="M56" s="18" t="s">
        <v>388</v>
      </c>
      <c r="N56" s="12" t="s">
        <v>204</v>
      </c>
    </row>
    <row r="57" spans="1:14" ht="28.5" x14ac:dyDescent="0.35">
      <c r="A57" s="12" t="s">
        <v>458</v>
      </c>
      <c r="B57" s="18" t="s">
        <v>459</v>
      </c>
      <c r="C57" s="12" t="s">
        <v>122</v>
      </c>
      <c r="D57" s="12" t="s">
        <v>34</v>
      </c>
      <c r="E57" s="12"/>
      <c r="F57" s="12" t="s">
        <v>63</v>
      </c>
      <c r="G57" s="12" t="s">
        <v>64</v>
      </c>
      <c r="H57" s="12" t="s">
        <v>198</v>
      </c>
      <c r="I57" s="12" t="s">
        <v>460</v>
      </c>
      <c r="J57" s="12" t="s">
        <v>461</v>
      </c>
      <c r="K57" s="12" t="s">
        <v>457</v>
      </c>
      <c r="L57" s="18" t="s">
        <v>216</v>
      </c>
      <c r="M57" s="18" t="s">
        <v>462</v>
      </c>
      <c r="N57" s="12" t="s">
        <v>463</v>
      </c>
    </row>
    <row r="58" spans="1:14" x14ac:dyDescent="0.35">
      <c r="A58" s="12" t="s">
        <v>464</v>
      </c>
      <c r="B58" s="18" t="s">
        <v>465</v>
      </c>
      <c r="C58" s="12" t="s">
        <v>122</v>
      </c>
      <c r="D58" s="12" t="s">
        <v>33</v>
      </c>
      <c r="E58" s="12"/>
      <c r="F58" s="12" t="s">
        <v>65</v>
      </c>
      <c r="G58" s="12" t="s">
        <v>66</v>
      </c>
      <c r="H58" s="12" t="s">
        <v>259</v>
      </c>
      <c r="I58" s="12" t="s">
        <v>466</v>
      </c>
      <c r="J58" s="12" t="s">
        <v>467</v>
      </c>
      <c r="K58" s="12" t="s">
        <v>457</v>
      </c>
      <c r="L58" s="18" t="s">
        <v>202</v>
      </c>
      <c r="M58" s="18" t="s">
        <v>468</v>
      </c>
      <c r="N58" s="12" t="s">
        <v>204</v>
      </c>
    </row>
    <row r="59" spans="1:14" x14ac:dyDescent="0.35">
      <c r="A59" s="12" t="s">
        <v>469</v>
      </c>
      <c r="B59" s="18" t="s">
        <v>470</v>
      </c>
      <c r="C59" s="12" t="s">
        <v>122</v>
      </c>
      <c r="D59" s="12" t="s">
        <v>33</v>
      </c>
      <c r="E59" s="12"/>
      <c r="F59" s="12" t="s">
        <v>67</v>
      </c>
      <c r="G59" s="12" t="s">
        <v>68</v>
      </c>
      <c r="H59" s="12" t="s">
        <v>239</v>
      </c>
      <c r="I59" s="12" t="s">
        <v>471</v>
      </c>
      <c r="J59" s="12" t="s">
        <v>472</v>
      </c>
      <c r="K59" s="12" t="s">
        <v>457</v>
      </c>
      <c r="L59" s="18" t="s">
        <v>202</v>
      </c>
      <c r="M59" s="18" t="s">
        <v>473</v>
      </c>
      <c r="N59" s="12" t="s">
        <v>204</v>
      </c>
    </row>
    <row r="60" spans="1:14" x14ac:dyDescent="0.35">
      <c r="A60" s="12" t="s">
        <v>479</v>
      </c>
      <c r="B60" s="18" t="s">
        <v>480</v>
      </c>
      <c r="C60" s="12" t="s">
        <v>122</v>
      </c>
      <c r="D60" s="12" t="s">
        <v>33</v>
      </c>
      <c r="E60" s="12"/>
      <c r="F60" s="12" t="s">
        <v>55</v>
      </c>
      <c r="G60" s="12" t="s">
        <v>56</v>
      </c>
      <c r="H60" s="12" t="s">
        <v>239</v>
      </c>
      <c r="I60" s="12" t="s">
        <v>455</v>
      </c>
      <c r="J60" s="12" t="s">
        <v>456</v>
      </c>
      <c r="K60" s="12" t="s">
        <v>457</v>
      </c>
      <c r="L60" s="18" t="s">
        <v>202</v>
      </c>
      <c r="M60" s="18" t="s">
        <v>481</v>
      </c>
      <c r="N60" s="12" t="s">
        <v>204</v>
      </c>
    </row>
    <row r="61" spans="1:14" ht="28.5" x14ac:dyDescent="0.35">
      <c r="A61" s="12" t="s">
        <v>474</v>
      </c>
      <c r="B61" s="18" t="s">
        <v>475</v>
      </c>
      <c r="C61" s="12" t="s">
        <v>122</v>
      </c>
      <c r="D61" s="12" t="s">
        <v>33</v>
      </c>
      <c r="E61" s="12"/>
      <c r="F61" s="12" t="s">
        <v>53</v>
      </c>
      <c r="G61" s="12" t="s">
        <v>54</v>
      </c>
      <c r="H61" s="12" t="s">
        <v>239</v>
      </c>
      <c r="I61" s="12" t="s">
        <v>476</v>
      </c>
      <c r="J61" s="12" t="s">
        <v>477</v>
      </c>
      <c r="K61" s="12" t="s">
        <v>457</v>
      </c>
      <c r="L61" s="18" t="s">
        <v>202</v>
      </c>
      <c r="M61" s="18" t="s">
        <v>478</v>
      </c>
      <c r="N61" s="12" t="s">
        <v>204</v>
      </c>
    </row>
    <row r="62" spans="1:14" x14ac:dyDescent="0.35">
      <c r="A62" s="12" t="s">
        <v>482</v>
      </c>
      <c r="B62" s="18" t="s">
        <v>483</v>
      </c>
      <c r="C62" s="12" t="s">
        <v>122</v>
      </c>
      <c r="D62" s="12" t="s">
        <v>33</v>
      </c>
      <c r="E62" s="12"/>
      <c r="F62" s="12" t="s">
        <v>53</v>
      </c>
      <c r="G62" s="12" t="s">
        <v>54</v>
      </c>
      <c r="H62" s="12" t="s">
        <v>198</v>
      </c>
      <c r="I62" s="12" t="s">
        <v>484</v>
      </c>
      <c r="J62" s="12" t="s">
        <v>485</v>
      </c>
      <c r="K62" s="12" t="s">
        <v>457</v>
      </c>
      <c r="L62" s="18" t="s">
        <v>202</v>
      </c>
      <c r="M62" s="18" t="s">
        <v>229</v>
      </c>
      <c r="N62" s="12" t="s">
        <v>204</v>
      </c>
    </row>
    <row r="63" spans="1:14" ht="28.5" x14ac:dyDescent="0.35">
      <c r="A63" s="12" t="s">
        <v>486</v>
      </c>
      <c r="B63" s="18" t="s">
        <v>487</v>
      </c>
      <c r="C63" s="12" t="s">
        <v>122</v>
      </c>
      <c r="D63" s="12" t="s">
        <v>33</v>
      </c>
      <c r="E63" s="12"/>
      <c r="F63" s="12" t="s">
        <v>53</v>
      </c>
      <c r="G63" s="12" t="s">
        <v>54</v>
      </c>
      <c r="H63" s="12" t="s">
        <v>198</v>
      </c>
      <c r="I63" s="12" t="s">
        <v>488</v>
      </c>
      <c r="J63" s="12" t="s">
        <v>489</v>
      </c>
      <c r="K63" s="12" t="s">
        <v>457</v>
      </c>
      <c r="L63" s="18" t="s">
        <v>202</v>
      </c>
      <c r="M63" s="18" t="s">
        <v>229</v>
      </c>
      <c r="N63" s="12" t="s">
        <v>204</v>
      </c>
    </row>
    <row r="64" spans="1:14" x14ac:dyDescent="0.35">
      <c r="A64" s="12" t="s">
        <v>490</v>
      </c>
      <c r="B64" s="18" t="s">
        <v>491</v>
      </c>
      <c r="C64" s="12" t="s">
        <v>122</v>
      </c>
      <c r="D64" s="12" t="s">
        <v>33</v>
      </c>
      <c r="E64" s="12"/>
      <c r="F64" s="12" t="s">
        <v>53</v>
      </c>
      <c r="G64" s="12" t="s">
        <v>54</v>
      </c>
      <c r="H64" s="12" t="s">
        <v>259</v>
      </c>
      <c r="I64" s="12" t="s">
        <v>476</v>
      </c>
      <c r="J64" s="12" t="s">
        <v>477</v>
      </c>
      <c r="K64" s="12" t="s">
        <v>457</v>
      </c>
      <c r="L64" s="18" t="s">
        <v>202</v>
      </c>
      <c r="M64" s="18" t="s">
        <v>492</v>
      </c>
      <c r="N64" s="12" t="s">
        <v>204</v>
      </c>
    </row>
    <row r="65" spans="1:14" ht="56.5" x14ac:dyDescent="0.35">
      <c r="A65" s="12" t="s">
        <v>493</v>
      </c>
      <c r="B65" s="18" t="s">
        <v>494</v>
      </c>
      <c r="C65" s="12" t="s">
        <v>122</v>
      </c>
      <c r="D65" s="12" t="s">
        <v>33</v>
      </c>
      <c r="E65" s="12"/>
      <c r="F65" s="12" t="s">
        <v>87</v>
      </c>
      <c r="G65" s="12" t="s">
        <v>88</v>
      </c>
      <c r="H65" s="12" t="s">
        <v>259</v>
      </c>
      <c r="I65" s="12" t="s">
        <v>495</v>
      </c>
      <c r="J65" s="12" t="s">
        <v>496</v>
      </c>
      <c r="K65" s="12" t="s">
        <v>457</v>
      </c>
      <c r="L65" s="18" t="s">
        <v>209</v>
      </c>
      <c r="M65" s="18" t="s">
        <v>497</v>
      </c>
      <c r="N65" s="12" t="s">
        <v>498</v>
      </c>
    </row>
    <row r="66" spans="1:14" x14ac:dyDescent="0.35">
      <c r="A66" s="12" t="s">
        <v>499</v>
      </c>
      <c r="B66" s="18" t="s">
        <v>500</v>
      </c>
      <c r="C66" s="12" t="s">
        <v>122</v>
      </c>
      <c r="D66" s="12" t="s">
        <v>33</v>
      </c>
      <c r="E66" s="12"/>
      <c r="F66" s="12" t="s">
        <v>59</v>
      </c>
      <c r="G66" s="12" t="s">
        <v>60</v>
      </c>
      <c r="H66" s="12" t="s">
        <v>259</v>
      </c>
      <c r="I66" s="12" t="s">
        <v>501</v>
      </c>
      <c r="J66" s="12" t="s">
        <v>502</v>
      </c>
      <c r="K66" s="12" t="s">
        <v>503</v>
      </c>
      <c r="L66" s="18" t="s">
        <v>209</v>
      </c>
      <c r="M66" s="18" t="s">
        <v>504</v>
      </c>
      <c r="N66" s="12" t="s">
        <v>505</v>
      </c>
    </row>
    <row r="67" spans="1:14" x14ac:dyDescent="0.35">
      <c r="A67" s="12" t="s">
        <v>506</v>
      </c>
      <c r="B67" s="18" t="s">
        <v>507</v>
      </c>
      <c r="C67" s="12" t="s">
        <v>122</v>
      </c>
      <c r="D67" s="12" t="s">
        <v>33</v>
      </c>
      <c r="E67" s="12"/>
      <c r="F67" s="12" t="s">
        <v>53</v>
      </c>
      <c r="G67" s="12" t="s">
        <v>54</v>
      </c>
      <c r="H67" s="12" t="s">
        <v>259</v>
      </c>
      <c r="I67" s="12" t="s">
        <v>508</v>
      </c>
      <c r="J67" s="12" t="s">
        <v>509</v>
      </c>
      <c r="K67" s="12" t="s">
        <v>503</v>
      </c>
      <c r="L67" s="18" t="s">
        <v>209</v>
      </c>
      <c r="M67" s="18" t="s">
        <v>510</v>
      </c>
      <c r="N67" s="12" t="s">
        <v>511</v>
      </c>
    </row>
    <row r="68" spans="1:14" x14ac:dyDescent="0.35">
      <c r="A68" s="12" t="s">
        <v>512</v>
      </c>
      <c r="B68" s="18" t="s">
        <v>513</v>
      </c>
      <c r="C68" s="12" t="s">
        <v>122</v>
      </c>
      <c r="D68" s="12" t="s">
        <v>33</v>
      </c>
      <c r="E68" s="12"/>
      <c r="F68" s="12" t="s">
        <v>55</v>
      </c>
      <c r="G68" s="12" t="s">
        <v>56</v>
      </c>
      <c r="H68" s="12" t="s">
        <v>239</v>
      </c>
      <c r="I68" s="12" t="s">
        <v>514</v>
      </c>
      <c r="J68" s="12" t="s">
        <v>515</v>
      </c>
      <c r="K68" s="12" t="s">
        <v>516</v>
      </c>
      <c r="L68" s="18" t="s">
        <v>202</v>
      </c>
      <c r="M68" s="18" t="s">
        <v>371</v>
      </c>
      <c r="N68" s="12" t="s">
        <v>204</v>
      </c>
    </row>
    <row r="69" spans="1:14" ht="28.5" x14ac:dyDescent="0.35">
      <c r="A69" s="12" t="s">
        <v>517</v>
      </c>
      <c r="B69" s="18" t="s">
        <v>518</v>
      </c>
      <c r="C69" s="12" t="s">
        <v>122</v>
      </c>
      <c r="D69" s="12" t="s">
        <v>33</v>
      </c>
      <c r="E69" s="12"/>
      <c r="F69" s="12" t="s">
        <v>67</v>
      </c>
      <c r="G69" s="12" t="s">
        <v>68</v>
      </c>
      <c r="H69" s="12" t="s">
        <v>198</v>
      </c>
      <c r="I69" s="12" t="s">
        <v>519</v>
      </c>
      <c r="J69" s="12" t="s">
        <v>520</v>
      </c>
      <c r="K69" s="12" t="s">
        <v>516</v>
      </c>
      <c r="L69" s="18" t="s">
        <v>202</v>
      </c>
      <c r="M69" s="18" t="s">
        <v>521</v>
      </c>
      <c r="N69" s="12" t="s">
        <v>204</v>
      </c>
    </row>
    <row r="70" spans="1:14" ht="28.5" x14ac:dyDescent="0.35">
      <c r="A70" s="12" t="s">
        <v>522</v>
      </c>
      <c r="B70" s="18" t="s">
        <v>523</v>
      </c>
      <c r="C70" s="12" t="s">
        <v>122</v>
      </c>
      <c r="D70" s="12" t="s">
        <v>33</v>
      </c>
      <c r="E70" s="12"/>
      <c r="F70" s="12" t="s">
        <v>53</v>
      </c>
      <c r="G70" s="12" t="s">
        <v>54</v>
      </c>
      <c r="H70" s="12" t="s">
        <v>198</v>
      </c>
      <c r="I70" s="12" t="s">
        <v>524</v>
      </c>
      <c r="J70" s="12" t="s">
        <v>525</v>
      </c>
      <c r="K70" s="12" t="s">
        <v>516</v>
      </c>
      <c r="L70" s="18" t="s">
        <v>202</v>
      </c>
      <c r="M70" s="18" t="s">
        <v>229</v>
      </c>
      <c r="N70" s="12" t="s">
        <v>204</v>
      </c>
    </row>
    <row r="71" spans="1:14" ht="28.5" x14ac:dyDescent="0.35">
      <c r="A71" s="12" t="s">
        <v>526</v>
      </c>
      <c r="B71" s="18" t="s">
        <v>527</v>
      </c>
      <c r="C71" s="12" t="s">
        <v>122</v>
      </c>
      <c r="D71" s="12" t="s">
        <v>33</v>
      </c>
      <c r="E71" s="12"/>
      <c r="F71" s="12" t="s">
        <v>53</v>
      </c>
      <c r="G71" s="12" t="s">
        <v>54</v>
      </c>
      <c r="H71" s="12" t="s">
        <v>259</v>
      </c>
      <c r="I71" s="12" t="s">
        <v>528</v>
      </c>
      <c r="J71" s="12" t="s">
        <v>529</v>
      </c>
      <c r="K71" s="12" t="s">
        <v>530</v>
      </c>
      <c r="L71" s="18" t="s">
        <v>209</v>
      </c>
      <c r="M71" s="18" t="s">
        <v>531</v>
      </c>
      <c r="N71" s="12" t="s">
        <v>532</v>
      </c>
    </row>
    <row r="72" spans="1:14" ht="42.5" x14ac:dyDescent="0.35">
      <c r="A72" s="12" t="s">
        <v>533</v>
      </c>
      <c r="B72" s="18" t="s">
        <v>534</v>
      </c>
      <c r="C72" s="12" t="s">
        <v>122</v>
      </c>
      <c r="D72" s="12" t="s">
        <v>33</v>
      </c>
      <c r="E72" s="12"/>
      <c r="F72" s="12" t="s">
        <v>57</v>
      </c>
      <c r="G72" s="12" t="s">
        <v>58</v>
      </c>
      <c r="H72" s="12" t="s">
        <v>239</v>
      </c>
      <c r="I72" s="12" t="s">
        <v>535</v>
      </c>
      <c r="J72" s="12" t="s">
        <v>536</v>
      </c>
      <c r="K72" s="12" t="s">
        <v>530</v>
      </c>
      <c r="L72" s="18" t="s">
        <v>202</v>
      </c>
      <c r="M72" s="18" t="s">
        <v>537</v>
      </c>
      <c r="N72" s="12" t="s">
        <v>204</v>
      </c>
    </row>
    <row r="73" spans="1:14" ht="28.5" x14ac:dyDescent="0.35">
      <c r="A73" s="12" t="s">
        <v>538</v>
      </c>
      <c r="B73" s="18" t="s">
        <v>539</v>
      </c>
      <c r="C73" s="12" t="s">
        <v>122</v>
      </c>
      <c r="D73" s="12" t="s">
        <v>33</v>
      </c>
      <c r="E73" s="12"/>
      <c r="F73" s="12" t="s">
        <v>67</v>
      </c>
      <c r="G73" s="12" t="s">
        <v>68</v>
      </c>
      <c r="H73" s="12" t="s">
        <v>198</v>
      </c>
      <c r="I73" s="12" t="s">
        <v>540</v>
      </c>
      <c r="J73" s="12" t="s">
        <v>541</v>
      </c>
      <c r="K73" s="12" t="s">
        <v>530</v>
      </c>
      <c r="L73" s="18" t="s">
        <v>202</v>
      </c>
      <c r="M73" s="18" t="s">
        <v>542</v>
      </c>
      <c r="N73" s="12" t="s">
        <v>204</v>
      </c>
    </row>
    <row r="74" spans="1:14" ht="28.5" x14ac:dyDescent="0.35">
      <c r="A74" s="12" t="s">
        <v>543</v>
      </c>
      <c r="B74" s="18" t="s">
        <v>544</v>
      </c>
      <c r="C74" s="12" t="s">
        <v>122</v>
      </c>
      <c r="D74" s="12" t="s">
        <v>33</v>
      </c>
      <c r="E74" s="12"/>
      <c r="F74" s="12" t="s">
        <v>53</v>
      </c>
      <c r="G74" s="12" t="s">
        <v>54</v>
      </c>
      <c r="H74" s="12" t="s">
        <v>198</v>
      </c>
      <c r="I74" s="12" t="s">
        <v>545</v>
      </c>
      <c r="J74" s="12" t="s">
        <v>546</v>
      </c>
      <c r="K74" s="12" t="s">
        <v>530</v>
      </c>
      <c r="L74" s="18" t="s">
        <v>202</v>
      </c>
      <c r="M74" s="18" t="s">
        <v>547</v>
      </c>
      <c r="N74" s="12" t="s">
        <v>204</v>
      </c>
    </row>
    <row r="75" spans="1:14" ht="28.5" x14ac:dyDescent="0.35">
      <c r="A75" s="12" t="s">
        <v>548</v>
      </c>
      <c r="B75" s="18" t="s">
        <v>549</v>
      </c>
      <c r="C75" s="12" t="s">
        <v>122</v>
      </c>
      <c r="D75" s="12" t="s">
        <v>33</v>
      </c>
      <c r="E75" s="12"/>
      <c r="F75" s="12" t="s">
        <v>57</v>
      </c>
      <c r="G75" s="12" t="s">
        <v>58</v>
      </c>
      <c r="H75" s="12" t="s">
        <v>198</v>
      </c>
      <c r="I75" s="12" t="s">
        <v>550</v>
      </c>
      <c r="J75" s="12" t="s">
        <v>551</v>
      </c>
      <c r="K75" s="12" t="s">
        <v>530</v>
      </c>
      <c r="L75" s="18" t="s">
        <v>202</v>
      </c>
      <c r="M75" s="18" t="s">
        <v>552</v>
      </c>
      <c r="N75" s="12" t="s">
        <v>204</v>
      </c>
    </row>
    <row r="76" spans="1:14" x14ac:dyDescent="0.35">
      <c r="A76" s="12" t="s">
        <v>553</v>
      </c>
      <c r="B76" s="18" t="s">
        <v>554</v>
      </c>
      <c r="C76" s="12" t="s">
        <v>122</v>
      </c>
      <c r="D76" s="12" t="s">
        <v>33</v>
      </c>
      <c r="E76" s="12"/>
      <c r="F76" s="12" t="s">
        <v>61</v>
      </c>
      <c r="G76" s="12" t="s">
        <v>62</v>
      </c>
      <c r="H76" s="12" t="s">
        <v>198</v>
      </c>
      <c r="I76" s="12" t="s">
        <v>555</v>
      </c>
      <c r="J76" s="12" t="s">
        <v>556</v>
      </c>
      <c r="K76" s="12" t="s">
        <v>530</v>
      </c>
      <c r="L76" s="18" t="s">
        <v>202</v>
      </c>
      <c r="M76" s="18" t="s">
        <v>318</v>
      </c>
      <c r="N76" s="12" t="s">
        <v>204</v>
      </c>
    </row>
    <row r="77" spans="1:14" x14ac:dyDescent="0.35">
      <c r="A77" s="12" t="s">
        <v>557</v>
      </c>
      <c r="B77" s="18" t="s">
        <v>558</v>
      </c>
      <c r="C77" s="12" t="s">
        <v>122</v>
      </c>
      <c r="D77" s="12" t="s">
        <v>33</v>
      </c>
      <c r="E77" s="12"/>
      <c r="F77" s="12" t="s">
        <v>69</v>
      </c>
      <c r="G77" s="12" t="s">
        <v>70</v>
      </c>
      <c r="H77" s="12" t="s">
        <v>198</v>
      </c>
      <c r="I77" s="12" t="s">
        <v>559</v>
      </c>
      <c r="J77" s="12" t="s">
        <v>560</v>
      </c>
      <c r="K77" s="12" t="s">
        <v>530</v>
      </c>
      <c r="L77" s="18" t="s">
        <v>209</v>
      </c>
      <c r="M77" s="18" t="s">
        <v>561</v>
      </c>
      <c r="N77" s="12" t="s">
        <v>562</v>
      </c>
    </row>
    <row r="78" spans="1:14" ht="28.5" x14ac:dyDescent="0.35">
      <c r="A78" s="12" t="s">
        <v>563</v>
      </c>
      <c r="B78" s="18" t="s">
        <v>564</v>
      </c>
      <c r="C78" s="12" t="s">
        <v>122</v>
      </c>
      <c r="D78" s="12" t="s">
        <v>33</v>
      </c>
      <c r="E78" s="12"/>
      <c r="F78" s="12" t="s">
        <v>55</v>
      </c>
      <c r="G78" s="12" t="s">
        <v>56</v>
      </c>
      <c r="H78" s="12" t="s">
        <v>198</v>
      </c>
      <c r="I78" s="12" t="s">
        <v>565</v>
      </c>
      <c r="J78" s="12" t="s">
        <v>566</v>
      </c>
      <c r="K78" s="12" t="s">
        <v>530</v>
      </c>
      <c r="L78" s="18" t="s">
        <v>202</v>
      </c>
      <c r="M78" s="18" t="s">
        <v>567</v>
      </c>
      <c r="N78" s="12" t="s">
        <v>204</v>
      </c>
    </row>
    <row r="79" spans="1:14" ht="28.5" x14ac:dyDescent="0.35">
      <c r="A79" s="12" t="s">
        <v>568</v>
      </c>
      <c r="B79" s="18" t="s">
        <v>569</v>
      </c>
      <c r="C79" s="12" t="s">
        <v>122</v>
      </c>
      <c r="D79" s="12" t="s">
        <v>33</v>
      </c>
      <c r="E79" s="12"/>
      <c r="F79" s="12" t="s">
        <v>57</v>
      </c>
      <c r="G79" s="12" t="s">
        <v>58</v>
      </c>
      <c r="H79" s="12" t="s">
        <v>239</v>
      </c>
      <c r="I79" s="12" t="s">
        <v>528</v>
      </c>
      <c r="J79" s="12" t="s">
        <v>529</v>
      </c>
      <c r="K79" s="12" t="s">
        <v>530</v>
      </c>
      <c r="L79" s="18" t="s">
        <v>202</v>
      </c>
      <c r="M79" s="18" t="s">
        <v>570</v>
      </c>
      <c r="N79" s="12" t="s">
        <v>204</v>
      </c>
    </row>
    <row r="80" spans="1:14" x14ac:dyDescent="0.35">
      <c r="A80" s="12" t="s">
        <v>571</v>
      </c>
      <c r="B80" s="18" t="s">
        <v>572</v>
      </c>
      <c r="C80" s="12" t="s">
        <v>122</v>
      </c>
      <c r="D80" s="12" t="s">
        <v>33</v>
      </c>
      <c r="E80" s="12"/>
      <c r="F80" s="12" t="s">
        <v>53</v>
      </c>
      <c r="G80" s="12" t="s">
        <v>54</v>
      </c>
      <c r="H80" s="12" t="s">
        <v>239</v>
      </c>
      <c r="I80" s="12" t="s">
        <v>573</v>
      </c>
      <c r="J80" s="12" t="s">
        <v>574</v>
      </c>
      <c r="K80" s="12" t="s">
        <v>575</v>
      </c>
      <c r="L80" s="18" t="s">
        <v>209</v>
      </c>
      <c r="M80" s="18" t="s">
        <v>576</v>
      </c>
      <c r="N80" s="12" t="s">
        <v>577</v>
      </c>
    </row>
    <row r="81" spans="1:14" x14ac:dyDescent="0.35">
      <c r="A81" s="12" t="s">
        <v>578</v>
      </c>
      <c r="B81" s="18" t="s">
        <v>579</v>
      </c>
      <c r="C81" s="12" t="s">
        <v>122</v>
      </c>
      <c r="D81" s="12" t="s">
        <v>33</v>
      </c>
      <c r="E81" s="12"/>
      <c r="F81" s="12" t="s">
        <v>53</v>
      </c>
      <c r="G81" s="12" t="s">
        <v>54</v>
      </c>
      <c r="H81" s="12" t="s">
        <v>198</v>
      </c>
      <c r="I81" s="12" t="s">
        <v>580</v>
      </c>
      <c r="J81" s="12" t="s">
        <v>581</v>
      </c>
      <c r="K81" s="12" t="s">
        <v>575</v>
      </c>
      <c r="L81" s="18" t="s">
        <v>202</v>
      </c>
      <c r="M81" s="18" t="s">
        <v>229</v>
      </c>
      <c r="N81" s="12" t="s">
        <v>204</v>
      </c>
    </row>
    <row r="82" spans="1:14" x14ac:dyDescent="0.35">
      <c r="A82" s="12" t="s">
        <v>582</v>
      </c>
      <c r="B82" s="18" t="s">
        <v>583</v>
      </c>
      <c r="C82" s="12" t="s">
        <v>122</v>
      </c>
      <c r="D82" s="12" t="s">
        <v>33</v>
      </c>
      <c r="E82" s="12"/>
      <c r="F82" s="12" t="s">
        <v>57</v>
      </c>
      <c r="G82" s="12" t="s">
        <v>58</v>
      </c>
      <c r="H82" s="12" t="s">
        <v>198</v>
      </c>
      <c r="I82" s="12" t="s">
        <v>584</v>
      </c>
      <c r="J82" s="12" t="s">
        <v>585</v>
      </c>
      <c r="K82" s="12" t="s">
        <v>586</v>
      </c>
      <c r="L82" s="18" t="s">
        <v>202</v>
      </c>
      <c r="M82" s="18" t="s">
        <v>414</v>
      </c>
      <c r="N82" s="12" t="s">
        <v>204</v>
      </c>
    </row>
    <row r="83" spans="1:14" ht="28.5" x14ac:dyDescent="0.35">
      <c r="A83" s="12" t="s">
        <v>587</v>
      </c>
      <c r="B83" s="18" t="s">
        <v>572</v>
      </c>
      <c r="C83" s="12" t="s">
        <v>122</v>
      </c>
      <c r="D83" s="12" t="s">
        <v>33</v>
      </c>
      <c r="E83" s="12"/>
      <c r="F83" s="12" t="s">
        <v>59</v>
      </c>
      <c r="G83" s="12" t="s">
        <v>60</v>
      </c>
      <c r="H83" s="12" t="s">
        <v>386</v>
      </c>
      <c r="I83" s="12" t="s">
        <v>588</v>
      </c>
      <c r="J83" s="12" t="s">
        <v>589</v>
      </c>
      <c r="K83" s="12" t="s">
        <v>590</v>
      </c>
      <c r="L83" s="18" t="s">
        <v>202</v>
      </c>
      <c r="M83" s="18" t="s">
        <v>591</v>
      </c>
      <c r="N83" s="12" t="s">
        <v>204</v>
      </c>
    </row>
    <row r="84" spans="1:14" ht="28.5" x14ac:dyDescent="0.35">
      <c r="A84" s="12" t="s">
        <v>592</v>
      </c>
      <c r="B84" s="18" t="s">
        <v>593</v>
      </c>
      <c r="C84" s="12" t="s">
        <v>122</v>
      </c>
      <c r="D84" s="12" t="s">
        <v>33</v>
      </c>
      <c r="E84" s="12"/>
      <c r="F84" s="12" t="s">
        <v>55</v>
      </c>
      <c r="G84" s="12" t="s">
        <v>56</v>
      </c>
      <c r="H84" s="12" t="s">
        <v>198</v>
      </c>
      <c r="I84" s="12" t="s">
        <v>594</v>
      </c>
      <c r="J84" s="12" t="s">
        <v>595</v>
      </c>
      <c r="K84" s="12" t="s">
        <v>590</v>
      </c>
      <c r="L84" s="18" t="s">
        <v>209</v>
      </c>
      <c r="M84" s="18" t="s">
        <v>596</v>
      </c>
      <c r="N84" s="12" t="s">
        <v>597</v>
      </c>
    </row>
    <row r="85" spans="1:14" ht="28.5" x14ac:dyDescent="0.35">
      <c r="A85" s="18" t="s">
        <v>2432</v>
      </c>
      <c r="B85" s="18" t="s">
        <v>2433</v>
      </c>
      <c r="C85" s="12" t="s">
        <v>122</v>
      </c>
      <c r="D85" s="18" t="s">
        <v>33</v>
      </c>
      <c r="E85" s="18"/>
      <c r="F85" s="12" t="s">
        <v>67</v>
      </c>
      <c r="G85" s="12" t="s">
        <v>68</v>
      </c>
      <c r="H85" s="12" t="s">
        <v>198</v>
      </c>
      <c r="I85" s="12" t="s">
        <v>2434</v>
      </c>
      <c r="J85" s="12" t="s">
        <v>2435</v>
      </c>
      <c r="K85" s="12" t="s">
        <v>602</v>
      </c>
      <c r="L85" s="12" t="s">
        <v>209</v>
      </c>
      <c r="M85" s="18" t="s">
        <v>4160</v>
      </c>
      <c r="N85" s="12" t="s">
        <v>2436</v>
      </c>
    </row>
    <row r="86" spans="1:14" x14ac:dyDescent="0.35">
      <c r="A86" s="12" t="s">
        <v>598</v>
      </c>
      <c r="B86" s="18" t="s">
        <v>599</v>
      </c>
      <c r="C86" s="12" t="s">
        <v>122</v>
      </c>
      <c r="D86" s="12" t="s">
        <v>33</v>
      </c>
      <c r="E86" s="12"/>
      <c r="F86" s="12" t="s">
        <v>55</v>
      </c>
      <c r="G86" s="12" t="s">
        <v>56</v>
      </c>
      <c r="H86" s="12" t="s">
        <v>259</v>
      </c>
      <c r="I86" s="12" t="s">
        <v>600</v>
      </c>
      <c r="J86" s="12" t="s">
        <v>601</v>
      </c>
      <c r="K86" s="12" t="s">
        <v>602</v>
      </c>
      <c r="L86" s="18" t="s">
        <v>202</v>
      </c>
      <c r="M86" s="18" t="s">
        <v>371</v>
      </c>
      <c r="N86" s="12" t="s">
        <v>204</v>
      </c>
    </row>
    <row r="87" spans="1:14" x14ac:dyDescent="0.35">
      <c r="A87" s="12" t="s">
        <v>603</v>
      </c>
      <c r="B87" s="18" t="s">
        <v>604</v>
      </c>
      <c r="C87" s="12" t="s">
        <v>122</v>
      </c>
      <c r="D87" s="12" t="s">
        <v>33</v>
      </c>
      <c r="E87" s="12"/>
      <c r="F87" s="12" t="s">
        <v>53</v>
      </c>
      <c r="G87" s="12" t="s">
        <v>54</v>
      </c>
      <c r="H87" s="12" t="s">
        <v>259</v>
      </c>
      <c r="I87" s="12" t="s">
        <v>605</v>
      </c>
      <c r="J87" s="12" t="s">
        <v>606</v>
      </c>
      <c r="K87" s="12" t="s">
        <v>602</v>
      </c>
      <c r="L87" s="18" t="s">
        <v>209</v>
      </c>
      <c r="M87" s="18" t="s">
        <v>607</v>
      </c>
      <c r="N87" s="12" t="s">
        <v>608</v>
      </c>
    </row>
    <row r="88" spans="1:14" x14ac:dyDescent="0.35">
      <c r="A88" s="12" t="s">
        <v>609</v>
      </c>
      <c r="B88" s="18" t="s">
        <v>610</v>
      </c>
      <c r="C88" s="12" t="s">
        <v>122</v>
      </c>
      <c r="D88" s="12" t="s">
        <v>33</v>
      </c>
      <c r="E88" s="12"/>
      <c r="F88" s="12" t="s">
        <v>53</v>
      </c>
      <c r="G88" s="12" t="s">
        <v>54</v>
      </c>
      <c r="H88" s="12" t="s">
        <v>198</v>
      </c>
      <c r="I88" s="12" t="s">
        <v>611</v>
      </c>
      <c r="J88" s="12" t="s">
        <v>612</v>
      </c>
      <c r="K88" s="12" t="s">
        <v>613</v>
      </c>
      <c r="L88" s="18" t="s">
        <v>209</v>
      </c>
      <c r="M88" s="18" t="s">
        <v>614</v>
      </c>
      <c r="N88" s="12" t="s">
        <v>615</v>
      </c>
    </row>
    <row r="89" spans="1:14" x14ac:dyDescent="0.35">
      <c r="A89" s="12" t="s">
        <v>616</v>
      </c>
      <c r="B89" s="18" t="s">
        <v>617</v>
      </c>
      <c r="C89" s="12" t="s">
        <v>122</v>
      </c>
      <c r="D89" s="12" t="s">
        <v>33</v>
      </c>
      <c r="E89" s="12"/>
      <c r="F89" s="12" t="s">
        <v>53</v>
      </c>
      <c r="G89" s="12" t="s">
        <v>54</v>
      </c>
      <c r="H89" s="12" t="s">
        <v>198</v>
      </c>
      <c r="I89" s="12" t="s">
        <v>618</v>
      </c>
      <c r="J89" s="12" t="s">
        <v>619</v>
      </c>
      <c r="K89" s="12" t="s">
        <v>613</v>
      </c>
      <c r="L89" s="18" t="s">
        <v>209</v>
      </c>
      <c r="M89" s="18" t="s">
        <v>620</v>
      </c>
      <c r="N89" s="12" t="s">
        <v>621</v>
      </c>
    </row>
    <row r="90" spans="1:14" ht="28.5" x14ac:dyDescent="0.35">
      <c r="A90" s="12" t="s">
        <v>622</v>
      </c>
      <c r="B90" s="18" t="s">
        <v>623</v>
      </c>
      <c r="C90" s="12" t="s">
        <v>122</v>
      </c>
      <c r="D90" s="12" t="s">
        <v>33</v>
      </c>
      <c r="E90" s="12"/>
      <c r="F90" s="12" t="s">
        <v>53</v>
      </c>
      <c r="G90" s="12" t="s">
        <v>54</v>
      </c>
      <c r="H90" s="12" t="s">
        <v>198</v>
      </c>
      <c r="I90" s="12" t="s">
        <v>624</v>
      </c>
      <c r="J90" s="12" t="s">
        <v>625</v>
      </c>
      <c r="K90" s="12" t="s">
        <v>626</v>
      </c>
      <c r="L90" s="18" t="s">
        <v>202</v>
      </c>
      <c r="M90" s="18" t="s">
        <v>627</v>
      </c>
      <c r="N90" s="12" t="s">
        <v>204</v>
      </c>
    </row>
    <row r="91" spans="1:14" ht="28.5" x14ac:dyDescent="0.35">
      <c r="A91" s="12" t="s">
        <v>628</v>
      </c>
      <c r="B91" s="18" t="s">
        <v>629</v>
      </c>
      <c r="C91" s="12" t="s">
        <v>122</v>
      </c>
      <c r="D91" s="12" t="s">
        <v>33</v>
      </c>
      <c r="E91" s="12"/>
      <c r="F91" s="12" t="s">
        <v>55</v>
      </c>
      <c r="G91" s="12" t="s">
        <v>56</v>
      </c>
      <c r="H91" s="12" t="s">
        <v>198</v>
      </c>
      <c r="I91" s="12" t="s">
        <v>630</v>
      </c>
      <c r="J91" s="12" t="s">
        <v>631</v>
      </c>
      <c r="K91" s="12" t="s">
        <v>626</v>
      </c>
      <c r="L91" s="18" t="s">
        <v>202</v>
      </c>
      <c r="M91" s="18" t="s">
        <v>632</v>
      </c>
      <c r="N91" s="12" t="s">
        <v>204</v>
      </c>
    </row>
    <row r="92" spans="1:14" ht="28.5" x14ac:dyDescent="0.35">
      <c r="A92" s="12" t="s">
        <v>633</v>
      </c>
      <c r="B92" s="18" t="s">
        <v>634</v>
      </c>
      <c r="C92" s="12" t="s">
        <v>122</v>
      </c>
      <c r="D92" s="12" t="s">
        <v>33</v>
      </c>
      <c r="E92" s="12"/>
      <c r="F92" s="12" t="s">
        <v>53</v>
      </c>
      <c r="G92" s="12" t="s">
        <v>54</v>
      </c>
      <c r="H92" s="12" t="s">
        <v>239</v>
      </c>
      <c r="I92" s="12" t="s">
        <v>635</v>
      </c>
      <c r="J92" s="12" t="s">
        <v>636</v>
      </c>
      <c r="K92" s="12" t="s">
        <v>626</v>
      </c>
      <c r="L92" s="18" t="s">
        <v>202</v>
      </c>
      <c r="M92" s="18" t="s">
        <v>229</v>
      </c>
      <c r="N92" s="12" t="s">
        <v>204</v>
      </c>
    </row>
    <row r="93" spans="1:14" ht="98.5" x14ac:dyDescent="0.35">
      <c r="A93" s="12" t="s">
        <v>637</v>
      </c>
      <c r="B93" s="18" t="s">
        <v>638</v>
      </c>
      <c r="C93" s="12" t="s">
        <v>122</v>
      </c>
      <c r="D93" s="12" t="s">
        <v>33</v>
      </c>
      <c r="E93" s="12"/>
      <c r="F93" s="12" t="s">
        <v>53</v>
      </c>
      <c r="G93" s="12" t="s">
        <v>54</v>
      </c>
      <c r="H93" s="12" t="s">
        <v>198</v>
      </c>
      <c r="I93" s="12" t="s">
        <v>639</v>
      </c>
      <c r="J93" s="12" t="s">
        <v>640</v>
      </c>
      <c r="K93" s="12" t="s">
        <v>626</v>
      </c>
      <c r="L93" s="18" t="s">
        <v>202</v>
      </c>
      <c r="M93" s="18" t="s">
        <v>641</v>
      </c>
      <c r="N93" s="12" t="s">
        <v>204</v>
      </c>
    </row>
    <row r="94" spans="1:14" x14ac:dyDescent="0.35">
      <c r="A94" s="12" t="s">
        <v>642</v>
      </c>
      <c r="B94" s="18" t="s">
        <v>643</v>
      </c>
      <c r="C94" s="12" t="s">
        <v>122</v>
      </c>
      <c r="D94" s="12" t="s">
        <v>33</v>
      </c>
      <c r="E94" s="12"/>
      <c r="F94" s="12" t="s">
        <v>53</v>
      </c>
      <c r="G94" s="12" t="s">
        <v>54</v>
      </c>
      <c r="H94" s="12" t="s">
        <v>198</v>
      </c>
      <c r="I94" s="12" t="s">
        <v>644</v>
      </c>
      <c r="J94" s="12" t="s">
        <v>645</v>
      </c>
      <c r="K94" s="12" t="s">
        <v>626</v>
      </c>
      <c r="L94" s="18" t="s">
        <v>209</v>
      </c>
      <c r="M94" s="18" t="s">
        <v>646</v>
      </c>
      <c r="N94" s="12" t="s">
        <v>647</v>
      </c>
    </row>
    <row r="95" spans="1:14" x14ac:dyDescent="0.35">
      <c r="A95" s="12" t="s">
        <v>648</v>
      </c>
      <c r="B95" s="18" t="s">
        <v>649</v>
      </c>
      <c r="C95" s="12" t="s">
        <v>122</v>
      </c>
      <c r="D95" s="12" t="s">
        <v>33</v>
      </c>
      <c r="E95" s="12"/>
      <c r="F95" s="12" t="s">
        <v>53</v>
      </c>
      <c r="G95" s="12" t="s">
        <v>54</v>
      </c>
      <c r="H95" s="12" t="s">
        <v>259</v>
      </c>
      <c r="I95" s="12" t="s">
        <v>650</v>
      </c>
      <c r="J95" s="12" t="s">
        <v>651</v>
      </c>
      <c r="K95" s="12" t="s">
        <v>626</v>
      </c>
      <c r="L95" s="18" t="s">
        <v>202</v>
      </c>
      <c r="M95" s="18" t="s">
        <v>229</v>
      </c>
      <c r="N95" s="12" t="s">
        <v>204</v>
      </c>
    </row>
    <row r="96" spans="1:14" ht="28.5" x14ac:dyDescent="0.35">
      <c r="A96" s="12" t="s">
        <v>652</v>
      </c>
      <c r="B96" s="18" t="s">
        <v>653</v>
      </c>
      <c r="C96" s="12" t="s">
        <v>122</v>
      </c>
      <c r="D96" s="12" t="s">
        <v>33</v>
      </c>
      <c r="E96" s="12"/>
      <c r="F96" s="12" t="s">
        <v>53</v>
      </c>
      <c r="G96" s="12" t="s">
        <v>54</v>
      </c>
      <c r="H96" s="12" t="s">
        <v>239</v>
      </c>
      <c r="I96" s="12" t="s">
        <v>630</v>
      </c>
      <c r="J96" s="12" t="s">
        <v>631</v>
      </c>
      <c r="K96" s="12" t="s">
        <v>626</v>
      </c>
      <c r="L96" s="18" t="s">
        <v>202</v>
      </c>
      <c r="M96" s="18" t="s">
        <v>654</v>
      </c>
      <c r="N96" s="12" t="s">
        <v>204</v>
      </c>
    </row>
    <row r="97" spans="1:14" ht="42.5" x14ac:dyDescent="0.35">
      <c r="A97" s="12" t="s">
        <v>655</v>
      </c>
      <c r="B97" s="18" t="s">
        <v>656</v>
      </c>
      <c r="C97" s="12" t="s">
        <v>122</v>
      </c>
      <c r="D97" s="12" t="s">
        <v>33</v>
      </c>
      <c r="E97" s="12"/>
      <c r="F97" s="12" t="s">
        <v>53</v>
      </c>
      <c r="G97" s="12" t="s">
        <v>54</v>
      </c>
      <c r="H97" s="12" t="s">
        <v>259</v>
      </c>
      <c r="I97" s="12" t="s">
        <v>630</v>
      </c>
      <c r="J97" s="12" t="s">
        <v>631</v>
      </c>
      <c r="K97" s="12" t="s">
        <v>626</v>
      </c>
      <c r="L97" s="18" t="s">
        <v>202</v>
      </c>
      <c r="M97" s="18" t="s">
        <v>657</v>
      </c>
      <c r="N97" s="12" t="s">
        <v>658</v>
      </c>
    </row>
    <row r="98" spans="1:14" ht="42.5" x14ac:dyDescent="0.35">
      <c r="A98" s="12" t="s">
        <v>659</v>
      </c>
      <c r="B98" s="18" t="s">
        <v>660</v>
      </c>
      <c r="C98" s="12" t="s">
        <v>122</v>
      </c>
      <c r="D98" s="12" t="s">
        <v>33</v>
      </c>
      <c r="E98" s="12"/>
      <c r="F98" s="12" t="s">
        <v>55</v>
      </c>
      <c r="G98" s="12" t="s">
        <v>56</v>
      </c>
      <c r="H98" s="12" t="s">
        <v>259</v>
      </c>
      <c r="I98" s="12" t="s">
        <v>661</v>
      </c>
      <c r="J98" s="12" t="s">
        <v>662</v>
      </c>
      <c r="K98" s="12" t="s">
        <v>626</v>
      </c>
      <c r="L98" s="18" t="s">
        <v>202</v>
      </c>
      <c r="M98" s="18" t="s">
        <v>371</v>
      </c>
      <c r="N98" s="12" t="s">
        <v>204</v>
      </c>
    </row>
    <row r="99" spans="1:14" x14ac:dyDescent="0.35">
      <c r="A99" s="12" t="s">
        <v>663</v>
      </c>
      <c r="B99" s="18" t="s">
        <v>664</v>
      </c>
      <c r="C99" s="12" t="s">
        <v>122</v>
      </c>
      <c r="D99" s="12" t="s">
        <v>33</v>
      </c>
      <c r="E99" s="12"/>
      <c r="F99" s="12" t="s">
        <v>61</v>
      </c>
      <c r="G99" s="12" t="s">
        <v>62</v>
      </c>
      <c r="H99" s="12" t="s">
        <v>198</v>
      </c>
      <c r="I99" s="12" t="s">
        <v>665</v>
      </c>
      <c r="J99" s="12" t="s">
        <v>666</v>
      </c>
      <c r="K99" s="12" t="s">
        <v>667</v>
      </c>
      <c r="L99" s="18" t="s">
        <v>202</v>
      </c>
      <c r="M99" s="18" t="s">
        <v>318</v>
      </c>
      <c r="N99" s="12" t="s">
        <v>204</v>
      </c>
    </row>
    <row r="100" spans="1:14" ht="28.5" x14ac:dyDescent="0.35">
      <c r="A100" s="12" t="s">
        <v>668</v>
      </c>
      <c r="B100" s="18" t="s">
        <v>669</v>
      </c>
      <c r="C100" s="12" t="s">
        <v>122</v>
      </c>
      <c r="D100" s="12" t="s">
        <v>33</v>
      </c>
      <c r="E100" s="12"/>
      <c r="F100" s="12" t="s">
        <v>61</v>
      </c>
      <c r="G100" s="12" t="s">
        <v>62</v>
      </c>
      <c r="H100" s="12" t="s">
        <v>259</v>
      </c>
      <c r="I100" s="12" t="s">
        <v>670</v>
      </c>
      <c r="J100" s="12" t="s">
        <v>671</v>
      </c>
      <c r="K100" s="12" t="s">
        <v>667</v>
      </c>
      <c r="L100" s="18" t="s">
        <v>209</v>
      </c>
      <c r="M100" s="18" t="s">
        <v>672</v>
      </c>
      <c r="N100" s="12" t="s">
        <v>673</v>
      </c>
    </row>
    <row r="101" spans="1:14" x14ac:dyDescent="0.35">
      <c r="A101" s="12" t="s">
        <v>674</v>
      </c>
      <c r="B101" s="18" t="s">
        <v>675</v>
      </c>
      <c r="C101" s="12" t="s">
        <v>122</v>
      </c>
      <c r="D101" s="12" t="s">
        <v>33</v>
      </c>
      <c r="E101" s="12"/>
      <c r="F101" s="12" t="s">
        <v>67</v>
      </c>
      <c r="G101" s="12" t="s">
        <v>68</v>
      </c>
      <c r="H101" s="12" t="s">
        <v>259</v>
      </c>
      <c r="I101" s="12" t="s">
        <v>665</v>
      </c>
      <c r="J101" s="12" t="s">
        <v>666</v>
      </c>
      <c r="K101" s="12" t="s">
        <v>667</v>
      </c>
      <c r="L101" s="18" t="s">
        <v>202</v>
      </c>
      <c r="M101" s="18" t="s">
        <v>473</v>
      </c>
      <c r="N101" s="12" t="s">
        <v>204</v>
      </c>
    </row>
    <row r="102" spans="1:14" ht="28.5" x14ac:dyDescent="0.35">
      <c r="A102" s="12" t="s">
        <v>676</v>
      </c>
      <c r="B102" s="18" t="s">
        <v>677</v>
      </c>
      <c r="C102" s="12" t="s">
        <v>122</v>
      </c>
      <c r="D102" s="12" t="s">
        <v>33</v>
      </c>
      <c r="E102" s="12"/>
      <c r="F102" s="12" t="s">
        <v>59</v>
      </c>
      <c r="G102" s="12" t="s">
        <v>60</v>
      </c>
      <c r="H102" s="12" t="s">
        <v>198</v>
      </c>
      <c r="I102" s="12" t="s">
        <v>678</v>
      </c>
      <c r="J102" s="12" t="s">
        <v>679</v>
      </c>
      <c r="K102" s="12" t="s">
        <v>667</v>
      </c>
      <c r="L102" s="18" t="s">
        <v>202</v>
      </c>
      <c r="M102" s="18" t="s">
        <v>680</v>
      </c>
      <c r="N102" s="12" t="s">
        <v>204</v>
      </c>
    </row>
    <row r="103" spans="1:14" ht="28.5" x14ac:dyDescent="0.35">
      <c r="A103" s="12" t="s">
        <v>681</v>
      </c>
      <c r="B103" s="18" t="s">
        <v>682</v>
      </c>
      <c r="C103" s="12" t="s">
        <v>122</v>
      </c>
      <c r="D103" s="12" t="s">
        <v>33</v>
      </c>
      <c r="E103" s="12"/>
      <c r="F103" s="12" t="s">
        <v>55</v>
      </c>
      <c r="G103" s="12" t="s">
        <v>56</v>
      </c>
      <c r="H103" s="12" t="s">
        <v>198</v>
      </c>
      <c r="I103" s="12" t="s">
        <v>683</v>
      </c>
      <c r="J103" s="12" t="s">
        <v>684</v>
      </c>
      <c r="K103" s="12" t="s">
        <v>667</v>
      </c>
      <c r="L103" s="18" t="s">
        <v>202</v>
      </c>
      <c r="M103" s="18" t="s">
        <v>685</v>
      </c>
      <c r="N103" s="12" t="s">
        <v>204</v>
      </c>
    </row>
    <row r="104" spans="1:14" ht="28.5" x14ac:dyDescent="0.35">
      <c r="A104" s="12" t="s">
        <v>686</v>
      </c>
      <c r="B104" s="18" t="s">
        <v>687</v>
      </c>
      <c r="C104" s="12" t="s">
        <v>122</v>
      </c>
      <c r="D104" s="12" t="s">
        <v>33</v>
      </c>
      <c r="E104" s="12"/>
      <c r="F104" s="12" t="s">
        <v>53</v>
      </c>
      <c r="G104" s="12" t="s">
        <v>54</v>
      </c>
      <c r="H104" s="12" t="s">
        <v>239</v>
      </c>
      <c r="I104" s="12" t="s">
        <v>688</v>
      </c>
      <c r="J104" s="12" t="s">
        <v>689</v>
      </c>
      <c r="K104" s="12" t="s">
        <v>667</v>
      </c>
      <c r="L104" s="18" t="s">
        <v>209</v>
      </c>
      <c r="M104" s="18" t="s">
        <v>690</v>
      </c>
      <c r="N104" s="12" t="s">
        <v>691</v>
      </c>
    </row>
    <row r="105" spans="1:14" ht="28.5" x14ac:dyDescent="0.35">
      <c r="A105" s="12" t="s">
        <v>692</v>
      </c>
      <c r="B105" s="18" t="s">
        <v>693</v>
      </c>
      <c r="C105" s="12" t="s">
        <v>122</v>
      </c>
      <c r="D105" s="12" t="s">
        <v>33</v>
      </c>
      <c r="E105" s="12"/>
      <c r="F105" s="12" t="s">
        <v>53</v>
      </c>
      <c r="G105" s="12" t="s">
        <v>54</v>
      </c>
      <c r="H105" s="12" t="s">
        <v>198</v>
      </c>
      <c r="I105" s="12" t="s">
        <v>670</v>
      </c>
      <c r="J105" s="12" t="s">
        <v>671</v>
      </c>
      <c r="K105" s="12" t="s">
        <v>667</v>
      </c>
      <c r="L105" s="18" t="s">
        <v>694</v>
      </c>
      <c r="M105" s="18" t="s">
        <v>695</v>
      </c>
      <c r="N105" s="12" t="s">
        <v>696</v>
      </c>
    </row>
    <row r="106" spans="1:14" x14ac:dyDescent="0.35">
      <c r="A106" s="18" t="s">
        <v>2453</v>
      </c>
      <c r="B106" s="18" t="s">
        <v>2454</v>
      </c>
      <c r="C106" s="12" t="s">
        <v>122</v>
      </c>
      <c r="D106" s="18" t="s">
        <v>33</v>
      </c>
      <c r="E106" s="18"/>
      <c r="F106" s="12" t="s">
        <v>69</v>
      </c>
      <c r="G106" s="12" t="s">
        <v>70</v>
      </c>
      <c r="H106" s="12" t="s">
        <v>386</v>
      </c>
      <c r="I106" s="12" t="s">
        <v>2455</v>
      </c>
      <c r="J106" s="12" t="s">
        <v>2456</v>
      </c>
      <c r="K106" s="12" t="s">
        <v>667</v>
      </c>
      <c r="L106" s="12" t="s">
        <v>202</v>
      </c>
      <c r="M106" s="18" t="s">
        <v>2457</v>
      </c>
      <c r="N106" s="12" t="s">
        <v>204</v>
      </c>
    </row>
    <row r="107" spans="1:14" ht="28.5" x14ac:dyDescent="0.35">
      <c r="A107" s="12" t="s">
        <v>697</v>
      </c>
      <c r="B107" s="18" t="s">
        <v>698</v>
      </c>
      <c r="C107" s="12" t="s">
        <v>122</v>
      </c>
      <c r="D107" s="12" t="s">
        <v>33</v>
      </c>
      <c r="E107" s="12"/>
      <c r="F107" s="12" t="s">
        <v>57</v>
      </c>
      <c r="G107" s="12" t="s">
        <v>58</v>
      </c>
      <c r="H107" s="12" t="s">
        <v>259</v>
      </c>
      <c r="I107" s="12" t="s">
        <v>699</v>
      </c>
      <c r="J107" s="12" t="s">
        <v>700</v>
      </c>
      <c r="K107" s="12" t="s">
        <v>667</v>
      </c>
      <c r="L107" s="18" t="s">
        <v>202</v>
      </c>
      <c r="M107" s="18" t="s">
        <v>414</v>
      </c>
      <c r="N107" s="12" t="s">
        <v>204</v>
      </c>
    </row>
    <row r="108" spans="1:14" ht="70.5" x14ac:dyDescent="0.35">
      <c r="A108" s="18" t="s">
        <v>2604</v>
      </c>
      <c r="B108" s="18" t="s">
        <v>2605</v>
      </c>
      <c r="C108" s="12" t="s">
        <v>122</v>
      </c>
      <c r="D108" s="18" t="s">
        <v>34</v>
      </c>
      <c r="E108" s="18"/>
      <c r="F108" s="12" t="s">
        <v>65</v>
      </c>
      <c r="G108" s="12" t="s">
        <v>66</v>
      </c>
      <c r="H108" s="12" t="s">
        <v>259</v>
      </c>
      <c r="I108" s="12" t="s">
        <v>2460</v>
      </c>
      <c r="J108" s="12" t="s">
        <v>2461</v>
      </c>
      <c r="K108" s="12" t="s">
        <v>705</v>
      </c>
      <c r="L108" s="12" t="s">
        <v>216</v>
      </c>
      <c r="M108" s="18" t="s">
        <v>4710</v>
      </c>
      <c r="N108" s="18" t="s">
        <v>4711</v>
      </c>
    </row>
    <row r="109" spans="1:14" x14ac:dyDescent="0.35">
      <c r="A109" s="12" t="s">
        <v>701</v>
      </c>
      <c r="B109" s="18" t="s">
        <v>702</v>
      </c>
      <c r="C109" s="12" t="s">
        <v>122</v>
      </c>
      <c r="D109" s="12" t="s">
        <v>33</v>
      </c>
      <c r="E109" s="12"/>
      <c r="F109" s="12" t="s">
        <v>67</v>
      </c>
      <c r="G109" s="12" t="s">
        <v>68</v>
      </c>
      <c r="H109" s="12" t="s">
        <v>198</v>
      </c>
      <c r="I109" s="12" t="s">
        <v>703</v>
      </c>
      <c r="J109" s="12" t="s">
        <v>704</v>
      </c>
      <c r="K109" s="12" t="s">
        <v>705</v>
      </c>
      <c r="L109" s="18" t="s">
        <v>209</v>
      </c>
      <c r="M109" s="18" t="s">
        <v>706</v>
      </c>
      <c r="N109" s="12" t="s">
        <v>707</v>
      </c>
    </row>
    <row r="110" spans="1:14" ht="56.5" x14ac:dyDescent="0.35">
      <c r="A110" s="18" t="s">
        <v>2606</v>
      </c>
      <c r="B110" s="18" t="s">
        <v>2607</v>
      </c>
      <c r="C110" s="12" t="s">
        <v>122</v>
      </c>
      <c r="D110" s="18" t="s">
        <v>34</v>
      </c>
      <c r="E110" s="18"/>
      <c r="F110" s="12" t="s">
        <v>65</v>
      </c>
      <c r="G110" s="12" t="s">
        <v>66</v>
      </c>
      <c r="H110" s="12" t="s">
        <v>198</v>
      </c>
      <c r="I110" s="12" t="s">
        <v>2608</v>
      </c>
      <c r="J110" s="12" t="s">
        <v>2609</v>
      </c>
      <c r="K110" s="12" t="s">
        <v>705</v>
      </c>
      <c r="L110" s="12" t="s">
        <v>216</v>
      </c>
      <c r="M110" s="18" t="s">
        <v>4712</v>
      </c>
      <c r="N110" s="18" t="s">
        <v>4713</v>
      </c>
    </row>
    <row r="111" spans="1:14" ht="42.5" x14ac:dyDescent="0.35">
      <c r="A111" s="12" t="s">
        <v>708</v>
      </c>
      <c r="B111" s="18" t="s">
        <v>709</v>
      </c>
      <c r="C111" s="12" t="s">
        <v>122</v>
      </c>
      <c r="D111" s="12" t="s">
        <v>33</v>
      </c>
      <c r="E111" s="12"/>
      <c r="F111" s="12" t="s">
        <v>61</v>
      </c>
      <c r="G111" s="12" t="s">
        <v>62</v>
      </c>
      <c r="H111" s="12" t="s">
        <v>239</v>
      </c>
      <c r="I111" s="12" t="s">
        <v>710</v>
      </c>
      <c r="J111" s="12" t="s">
        <v>711</v>
      </c>
      <c r="K111" s="12" t="s">
        <v>705</v>
      </c>
      <c r="L111" s="18" t="s">
        <v>209</v>
      </c>
      <c r="M111" s="18" t="s">
        <v>712</v>
      </c>
      <c r="N111" s="12" t="s">
        <v>713</v>
      </c>
    </row>
    <row r="112" spans="1:14" x14ac:dyDescent="0.35">
      <c r="A112" s="12" t="s">
        <v>714</v>
      </c>
      <c r="B112" s="18" t="s">
        <v>715</v>
      </c>
      <c r="C112" s="12" t="s">
        <v>122</v>
      </c>
      <c r="D112" s="12" t="s">
        <v>33</v>
      </c>
      <c r="E112" s="12"/>
      <c r="F112" s="12" t="s">
        <v>53</v>
      </c>
      <c r="G112" s="12" t="s">
        <v>54</v>
      </c>
      <c r="H112" s="12" t="s">
        <v>259</v>
      </c>
      <c r="I112" s="12" t="s">
        <v>716</v>
      </c>
      <c r="J112" s="12" t="s">
        <v>717</v>
      </c>
      <c r="K112" s="12" t="s">
        <v>705</v>
      </c>
      <c r="L112" s="18" t="s">
        <v>209</v>
      </c>
      <c r="M112" s="18" t="s">
        <v>718</v>
      </c>
      <c r="N112" s="12" t="s">
        <v>719</v>
      </c>
    </row>
    <row r="113" spans="1:14" x14ac:dyDescent="0.35">
      <c r="A113" s="12" t="s">
        <v>725</v>
      </c>
      <c r="B113" s="18" t="s">
        <v>726</v>
      </c>
      <c r="C113" s="12" t="s">
        <v>122</v>
      </c>
      <c r="D113" s="12" t="s">
        <v>33</v>
      </c>
      <c r="E113" s="12"/>
      <c r="F113" s="12" t="s">
        <v>53</v>
      </c>
      <c r="G113" s="12" t="s">
        <v>54</v>
      </c>
      <c r="H113" s="12" t="s">
        <v>259</v>
      </c>
      <c r="I113" s="12" t="s">
        <v>727</v>
      </c>
      <c r="J113" s="12" t="s">
        <v>728</v>
      </c>
      <c r="K113" s="12" t="s">
        <v>724</v>
      </c>
      <c r="L113" s="18" t="s">
        <v>202</v>
      </c>
      <c r="M113" s="18" t="s">
        <v>229</v>
      </c>
      <c r="N113" s="12" t="s">
        <v>204</v>
      </c>
    </row>
    <row r="114" spans="1:14" ht="70.5" x14ac:dyDescent="0.35">
      <c r="A114" s="12" t="s">
        <v>729</v>
      </c>
      <c r="B114" s="18" t="s">
        <v>730</v>
      </c>
      <c r="C114" s="12" t="s">
        <v>122</v>
      </c>
      <c r="D114" s="12" t="s">
        <v>33</v>
      </c>
      <c r="E114" s="12"/>
      <c r="F114" s="12" t="s">
        <v>55</v>
      </c>
      <c r="G114" s="12" t="s">
        <v>56</v>
      </c>
      <c r="H114" s="12" t="s">
        <v>198</v>
      </c>
      <c r="I114" s="12" t="s">
        <v>722</v>
      </c>
      <c r="J114" s="12" t="s">
        <v>723</v>
      </c>
      <c r="K114" s="12" t="s">
        <v>724</v>
      </c>
      <c r="L114" s="18" t="s">
        <v>694</v>
      </c>
      <c r="M114" s="18" t="s">
        <v>731</v>
      </c>
      <c r="N114" s="12" t="s">
        <v>732</v>
      </c>
    </row>
    <row r="115" spans="1:14" ht="42.5" x14ac:dyDescent="0.35">
      <c r="A115" s="12" t="s">
        <v>733</v>
      </c>
      <c r="B115" s="18" t="s">
        <v>734</v>
      </c>
      <c r="C115" s="12" t="s">
        <v>122</v>
      </c>
      <c r="D115" s="12" t="s">
        <v>34</v>
      </c>
      <c r="E115" s="12"/>
      <c r="F115" s="12" t="s">
        <v>63</v>
      </c>
      <c r="G115" s="12" t="s">
        <v>64</v>
      </c>
      <c r="H115" s="12" t="s">
        <v>259</v>
      </c>
      <c r="I115" s="12" t="s">
        <v>735</v>
      </c>
      <c r="J115" s="12" t="s">
        <v>736</v>
      </c>
      <c r="K115" s="12" t="s">
        <v>724</v>
      </c>
      <c r="L115" s="18" t="s">
        <v>216</v>
      </c>
      <c r="M115" s="18" t="s">
        <v>737</v>
      </c>
      <c r="N115" s="12" t="s">
        <v>738</v>
      </c>
    </row>
    <row r="116" spans="1:14" ht="28.5" x14ac:dyDescent="0.35">
      <c r="A116" s="12" t="s">
        <v>739</v>
      </c>
      <c r="B116" s="18" t="s">
        <v>740</v>
      </c>
      <c r="C116" s="12" t="s">
        <v>122</v>
      </c>
      <c r="D116" s="12" t="s">
        <v>33</v>
      </c>
      <c r="E116" s="12"/>
      <c r="F116" s="12" t="s">
        <v>61</v>
      </c>
      <c r="G116" s="12" t="s">
        <v>62</v>
      </c>
      <c r="H116" s="12" t="s">
        <v>198</v>
      </c>
      <c r="I116" s="12" t="s">
        <v>741</v>
      </c>
      <c r="J116" s="12" t="s">
        <v>742</v>
      </c>
      <c r="K116" s="12" t="s">
        <v>724</v>
      </c>
      <c r="L116" s="18" t="s">
        <v>202</v>
      </c>
      <c r="M116" s="18" t="s">
        <v>318</v>
      </c>
      <c r="N116" s="12" t="s">
        <v>204</v>
      </c>
    </row>
    <row r="117" spans="1:14" x14ac:dyDescent="0.35">
      <c r="A117" s="12" t="s">
        <v>743</v>
      </c>
      <c r="B117" s="18" t="s">
        <v>744</v>
      </c>
      <c r="C117" s="12" t="s">
        <v>122</v>
      </c>
      <c r="D117" s="12" t="s">
        <v>33</v>
      </c>
      <c r="E117" s="12"/>
      <c r="F117" s="12" t="s">
        <v>53</v>
      </c>
      <c r="G117" s="12" t="s">
        <v>54</v>
      </c>
      <c r="H117" s="12" t="s">
        <v>198</v>
      </c>
      <c r="I117" s="12" t="s">
        <v>745</v>
      </c>
      <c r="J117" s="12" t="s">
        <v>746</v>
      </c>
      <c r="K117" s="12" t="s">
        <v>724</v>
      </c>
      <c r="L117" s="18" t="s">
        <v>209</v>
      </c>
      <c r="M117" s="18" t="s">
        <v>747</v>
      </c>
      <c r="N117" s="12" t="s">
        <v>748</v>
      </c>
    </row>
    <row r="118" spans="1:14" x14ac:dyDescent="0.35">
      <c r="A118" s="12" t="s">
        <v>749</v>
      </c>
      <c r="B118" s="18" t="s">
        <v>750</v>
      </c>
      <c r="C118" s="12" t="s">
        <v>122</v>
      </c>
      <c r="D118" s="12" t="s">
        <v>33</v>
      </c>
      <c r="E118" s="12"/>
      <c r="F118" s="12" t="s">
        <v>55</v>
      </c>
      <c r="G118" s="12" t="s">
        <v>56</v>
      </c>
      <c r="H118" s="12" t="s">
        <v>198</v>
      </c>
      <c r="I118" s="12" t="s">
        <v>751</v>
      </c>
      <c r="J118" s="12" t="s">
        <v>736</v>
      </c>
      <c r="K118" s="12" t="s">
        <v>724</v>
      </c>
      <c r="L118" s="18" t="s">
        <v>202</v>
      </c>
      <c r="M118" s="18" t="s">
        <v>371</v>
      </c>
      <c r="N118" s="12" t="s">
        <v>204</v>
      </c>
    </row>
    <row r="119" spans="1:14" x14ac:dyDescent="0.35">
      <c r="A119" s="12" t="s">
        <v>752</v>
      </c>
      <c r="B119" s="18" t="s">
        <v>753</v>
      </c>
      <c r="C119" s="12" t="s">
        <v>122</v>
      </c>
      <c r="D119" s="12" t="s">
        <v>33</v>
      </c>
      <c r="E119" s="12"/>
      <c r="F119" s="12" t="s">
        <v>59</v>
      </c>
      <c r="G119" s="12" t="s">
        <v>60</v>
      </c>
      <c r="H119" s="12" t="s">
        <v>259</v>
      </c>
      <c r="I119" s="12" t="s">
        <v>735</v>
      </c>
      <c r="J119" s="12" t="s">
        <v>736</v>
      </c>
      <c r="K119" s="12" t="s">
        <v>724</v>
      </c>
      <c r="L119" s="18" t="s">
        <v>209</v>
      </c>
      <c r="M119" s="18" t="s">
        <v>754</v>
      </c>
      <c r="N119" s="12" t="s">
        <v>755</v>
      </c>
    </row>
    <row r="120" spans="1:14" ht="28.5" x14ac:dyDescent="0.35">
      <c r="A120" s="12" t="s">
        <v>756</v>
      </c>
      <c r="B120" s="18" t="s">
        <v>757</v>
      </c>
      <c r="C120" s="12" t="s">
        <v>122</v>
      </c>
      <c r="D120" s="12" t="s">
        <v>33</v>
      </c>
      <c r="E120" s="12"/>
      <c r="F120" s="12" t="s">
        <v>55</v>
      </c>
      <c r="G120" s="12" t="s">
        <v>56</v>
      </c>
      <c r="H120" s="12" t="s">
        <v>198</v>
      </c>
      <c r="I120" s="12" t="s">
        <v>758</v>
      </c>
      <c r="J120" s="12" t="s">
        <v>759</v>
      </c>
      <c r="K120" s="12" t="s">
        <v>724</v>
      </c>
      <c r="L120" s="18" t="s">
        <v>202</v>
      </c>
      <c r="M120" s="18" t="s">
        <v>760</v>
      </c>
      <c r="N120" s="12" t="s">
        <v>204</v>
      </c>
    </row>
    <row r="121" spans="1:14" x14ac:dyDescent="0.35">
      <c r="A121" s="12" t="s">
        <v>761</v>
      </c>
      <c r="B121" s="18" t="s">
        <v>762</v>
      </c>
      <c r="C121" s="12" t="s">
        <v>122</v>
      </c>
      <c r="D121" s="12" t="s">
        <v>33</v>
      </c>
      <c r="E121" s="12"/>
      <c r="F121" s="12" t="s">
        <v>61</v>
      </c>
      <c r="G121" s="12" t="s">
        <v>62</v>
      </c>
      <c r="H121" s="12" t="s">
        <v>259</v>
      </c>
      <c r="I121" s="12" t="s">
        <v>763</v>
      </c>
      <c r="J121" s="12" t="s">
        <v>764</v>
      </c>
      <c r="K121" s="12" t="s">
        <v>724</v>
      </c>
      <c r="L121" s="18" t="s">
        <v>202</v>
      </c>
      <c r="M121" s="18" t="s">
        <v>318</v>
      </c>
      <c r="N121" s="12" t="s">
        <v>204</v>
      </c>
    </row>
    <row r="122" spans="1:14" ht="28.5" x14ac:dyDescent="0.35">
      <c r="A122" s="12" t="s">
        <v>765</v>
      </c>
      <c r="B122" s="18" t="s">
        <v>766</v>
      </c>
      <c r="C122" s="12" t="s">
        <v>122</v>
      </c>
      <c r="D122" s="12" t="s">
        <v>33</v>
      </c>
      <c r="E122" s="12"/>
      <c r="F122" s="12" t="s">
        <v>63</v>
      </c>
      <c r="G122" s="12" t="s">
        <v>64</v>
      </c>
      <c r="H122" s="12" t="s">
        <v>259</v>
      </c>
      <c r="I122" s="12" t="s">
        <v>767</v>
      </c>
      <c r="J122" s="12" t="s">
        <v>768</v>
      </c>
      <c r="K122" s="12" t="s">
        <v>724</v>
      </c>
      <c r="L122" s="18" t="s">
        <v>202</v>
      </c>
      <c r="M122" s="18" t="s">
        <v>769</v>
      </c>
      <c r="N122" s="12" t="s">
        <v>204</v>
      </c>
    </row>
    <row r="123" spans="1:14" x14ac:dyDescent="0.35">
      <c r="A123" s="12" t="s">
        <v>770</v>
      </c>
      <c r="B123" s="18" t="s">
        <v>771</v>
      </c>
      <c r="C123" s="12" t="s">
        <v>122</v>
      </c>
      <c r="D123" s="12" t="s">
        <v>33</v>
      </c>
      <c r="E123" s="12"/>
      <c r="F123" s="12" t="s">
        <v>55</v>
      </c>
      <c r="G123" s="12" t="s">
        <v>56</v>
      </c>
      <c r="H123" s="12" t="s">
        <v>259</v>
      </c>
      <c r="I123" s="12" t="s">
        <v>763</v>
      </c>
      <c r="J123" s="12" t="s">
        <v>772</v>
      </c>
      <c r="K123" s="12" t="s">
        <v>724</v>
      </c>
      <c r="L123" s="18" t="s">
        <v>202</v>
      </c>
      <c r="M123" s="18" t="s">
        <v>371</v>
      </c>
      <c r="N123" s="12" t="s">
        <v>204</v>
      </c>
    </row>
    <row r="124" spans="1:14" x14ac:dyDescent="0.35">
      <c r="A124" s="12" t="s">
        <v>773</v>
      </c>
      <c r="B124" s="18" t="s">
        <v>774</v>
      </c>
      <c r="C124" s="12" t="s">
        <v>122</v>
      </c>
      <c r="D124" s="12" t="s">
        <v>33</v>
      </c>
      <c r="E124" s="12"/>
      <c r="F124" s="12" t="s">
        <v>53</v>
      </c>
      <c r="G124" s="12" t="s">
        <v>54</v>
      </c>
      <c r="H124" s="12" t="s">
        <v>198</v>
      </c>
      <c r="I124" s="12" t="s">
        <v>775</v>
      </c>
      <c r="J124" s="12" t="s">
        <v>776</v>
      </c>
      <c r="K124" s="12" t="s">
        <v>724</v>
      </c>
      <c r="L124" s="18" t="s">
        <v>209</v>
      </c>
      <c r="M124" s="18" t="s">
        <v>777</v>
      </c>
      <c r="N124" s="12" t="s">
        <v>778</v>
      </c>
    </row>
    <row r="125" spans="1:14" x14ac:dyDescent="0.35">
      <c r="A125" s="12" t="s">
        <v>779</v>
      </c>
      <c r="B125" s="18" t="s">
        <v>780</v>
      </c>
      <c r="C125" s="12" t="s">
        <v>122</v>
      </c>
      <c r="D125" s="12" t="s">
        <v>33</v>
      </c>
      <c r="E125" s="12"/>
      <c r="F125" s="12" t="s">
        <v>53</v>
      </c>
      <c r="G125" s="12" t="s">
        <v>54</v>
      </c>
      <c r="H125" s="12" t="s">
        <v>239</v>
      </c>
      <c r="I125" s="12" t="s">
        <v>781</v>
      </c>
      <c r="J125" s="12" t="s">
        <v>782</v>
      </c>
      <c r="K125" s="12" t="s">
        <v>724</v>
      </c>
      <c r="L125" s="18" t="s">
        <v>202</v>
      </c>
      <c r="M125" s="18" t="s">
        <v>229</v>
      </c>
      <c r="N125" s="12" t="s">
        <v>204</v>
      </c>
    </row>
    <row r="126" spans="1:14" x14ac:dyDescent="0.35">
      <c r="A126" s="12" t="s">
        <v>783</v>
      </c>
      <c r="B126" s="18" t="s">
        <v>784</v>
      </c>
      <c r="C126" s="12" t="s">
        <v>122</v>
      </c>
      <c r="D126" s="12" t="s">
        <v>33</v>
      </c>
      <c r="E126" s="12"/>
      <c r="F126" s="12" t="s">
        <v>53</v>
      </c>
      <c r="G126" s="12" t="s">
        <v>54</v>
      </c>
      <c r="H126" s="12" t="s">
        <v>239</v>
      </c>
      <c r="I126" s="12" t="s">
        <v>785</v>
      </c>
      <c r="J126" s="12" t="s">
        <v>786</v>
      </c>
      <c r="K126" s="12" t="s">
        <v>724</v>
      </c>
      <c r="L126" s="18" t="s">
        <v>209</v>
      </c>
      <c r="M126" s="18" t="s">
        <v>787</v>
      </c>
      <c r="N126" s="12" t="s">
        <v>788</v>
      </c>
    </row>
    <row r="127" spans="1:14" x14ac:dyDescent="0.35">
      <c r="A127" s="12" t="s">
        <v>789</v>
      </c>
      <c r="B127" s="18" t="s">
        <v>790</v>
      </c>
      <c r="C127" s="12" t="s">
        <v>122</v>
      </c>
      <c r="D127" s="12" t="s">
        <v>33</v>
      </c>
      <c r="E127" s="12"/>
      <c r="F127" s="12" t="s">
        <v>53</v>
      </c>
      <c r="G127" s="12" t="s">
        <v>54</v>
      </c>
      <c r="H127" s="12" t="s">
        <v>259</v>
      </c>
      <c r="I127" s="12" t="s">
        <v>791</v>
      </c>
      <c r="J127" s="12" t="s">
        <v>792</v>
      </c>
      <c r="K127" s="12" t="s">
        <v>724</v>
      </c>
      <c r="L127" s="18" t="s">
        <v>209</v>
      </c>
      <c r="M127" s="18" t="s">
        <v>793</v>
      </c>
      <c r="N127" s="12" t="s">
        <v>794</v>
      </c>
    </row>
    <row r="128" spans="1:14" x14ac:dyDescent="0.35">
      <c r="A128" s="12" t="s">
        <v>795</v>
      </c>
      <c r="B128" s="18" t="s">
        <v>796</v>
      </c>
      <c r="C128" s="12" t="s">
        <v>122</v>
      </c>
      <c r="D128" s="12" t="s">
        <v>33</v>
      </c>
      <c r="E128" s="12"/>
      <c r="F128" s="12" t="s">
        <v>61</v>
      </c>
      <c r="G128" s="12" t="s">
        <v>62</v>
      </c>
      <c r="H128" s="12" t="s">
        <v>259</v>
      </c>
      <c r="I128" s="12" t="s">
        <v>797</v>
      </c>
      <c r="J128" s="12" t="s">
        <v>798</v>
      </c>
      <c r="K128" s="12" t="s">
        <v>724</v>
      </c>
      <c r="L128" s="18" t="s">
        <v>202</v>
      </c>
      <c r="M128" s="18" t="s">
        <v>318</v>
      </c>
      <c r="N128" s="12" t="s">
        <v>204</v>
      </c>
    </row>
    <row r="129" spans="1:14" x14ac:dyDescent="0.35">
      <c r="A129" s="12" t="s">
        <v>799</v>
      </c>
      <c r="B129" s="18" t="s">
        <v>800</v>
      </c>
      <c r="C129" s="12" t="s">
        <v>122</v>
      </c>
      <c r="D129" s="12" t="s">
        <v>33</v>
      </c>
      <c r="E129" s="12"/>
      <c r="F129" s="12" t="s">
        <v>53</v>
      </c>
      <c r="G129" s="12" t="s">
        <v>54</v>
      </c>
      <c r="H129" s="12" t="s">
        <v>198</v>
      </c>
      <c r="I129" s="12" t="s">
        <v>763</v>
      </c>
      <c r="J129" s="12" t="s">
        <v>801</v>
      </c>
      <c r="K129" s="12" t="s">
        <v>724</v>
      </c>
      <c r="L129" s="18" t="s">
        <v>202</v>
      </c>
      <c r="M129" s="18" t="s">
        <v>229</v>
      </c>
      <c r="N129" s="12" t="s">
        <v>204</v>
      </c>
    </row>
    <row r="130" spans="1:14" ht="28.5" x14ac:dyDescent="0.35">
      <c r="A130" s="12" t="s">
        <v>802</v>
      </c>
      <c r="B130" s="18" t="s">
        <v>803</v>
      </c>
      <c r="C130" s="12" t="s">
        <v>122</v>
      </c>
      <c r="D130" s="12" t="s">
        <v>33</v>
      </c>
      <c r="E130" s="12"/>
      <c r="F130" s="12" t="s">
        <v>55</v>
      </c>
      <c r="G130" s="12" t="s">
        <v>56</v>
      </c>
      <c r="H130" s="12" t="s">
        <v>239</v>
      </c>
      <c r="I130" s="12" t="s">
        <v>804</v>
      </c>
      <c r="J130" s="12" t="s">
        <v>805</v>
      </c>
      <c r="K130" s="12" t="s">
        <v>806</v>
      </c>
      <c r="L130" s="18" t="s">
        <v>202</v>
      </c>
      <c r="M130" s="18" t="s">
        <v>807</v>
      </c>
      <c r="N130" s="12" t="s">
        <v>204</v>
      </c>
    </row>
    <row r="131" spans="1:14" ht="28.5" x14ac:dyDescent="0.35">
      <c r="A131" s="12" t="s">
        <v>808</v>
      </c>
      <c r="B131" s="18" t="s">
        <v>809</v>
      </c>
      <c r="C131" s="12" t="s">
        <v>122</v>
      </c>
      <c r="D131" s="12" t="s">
        <v>33</v>
      </c>
      <c r="E131" s="12"/>
      <c r="F131" s="12" t="s">
        <v>53</v>
      </c>
      <c r="G131" s="12" t="s">
        <v>54</v>
      </c>
      <c r="H131" s="12" t="s">
        <v>198</v>
      </c>
      <c r="I131" s="12" t="s">
        <v>810</v>
      </c>
      <c r="J131" s="12" t="s">
        <v>811</v>
      </c>
      <c r="K131" s="12" t="s">
        <v>806</v>
      </c>
      <c r="L131" s="18" t="s">
        <v>202</v>
      </c>
      <c r="M131" s="18" t="s">
        <v>229</v>
      </c>
      <c r="N131" s="12" t="s">
        <v>204</v>
      </c>
    </row>
    <row r="132" spans="1:14" x14ac:dyDescent="0.35">
      <c r="A132" s="12" t="s">
        <v>812</v>
      </c>
      <c r="B132" s="18" t="s">
        <v>813</v>
      </c>
      <c r="C132" s="12" t="s">
        <v>122</v>
      </c>
      <c r="D132" s="12" t="s">
        <v>33</v>
      </c>
      <c r="E132" s="12"/>
      <c r="F132" s="12" t="s">
        <v>53</v>
      </c>
      <c r="G132" s="12" t="s">
        <v>54</v>
      </c>
      <c r="H132" s="12" t="s">
        <v>259</v>
      </c>
      <c r="I132" s="12" t="s">
        <v>814</v>
      </c>
      <c r="J132" s="12" t="s">
        <v>815</v>
      </c>
      <c r="K132" s="12" t="s">
        <v>806</v>
      </c>
      <c r="L132" s="18" t="s">
        <v>209</v>
      </c>
      <c r="M132" s="18" t="s">
        <v>816</v>
      </c>
      <c r="N132" s="12" t="s">
        <v>817</v>
      </c>
    </row>
    <row r="133" spans="1:14" x14ac:dyDescent="0.35">
      <c r="A133" s="12" t="s">
        <v>818</v>
      </c>
      <c r="B133" s="18" t="s">
        <v>819</v>
      </c>
      <c r="C133" s="12" t="s">
        <v>122</v>
      </c>
      <c r="D133" s="12" t="s">
        <v>33</v>
      </c>
      <c r="E133" s="12"/>
      <c r="F133" s="12" t="s">
        <v>59</v>
      </c>
      <c r="G133" s="12" t="s">
        <v>60</v>
      </c>
      <c r="H133" s="12" t="s">
        <v>259</v>
      </c>
      <c r="I133" s="12" t="s">
        <v>820</v>
      </c>
      <c r="J133" s="12" t="s">
        <v>821</v>
      </c>
      <c r="K133" s="12" t="s">
        <v>806</v>
      </c>
      <c r="L133" s="18" t="s">
        <v>202</v>
      </c>
      <c r="M133" s="18" t="s">
        <v>313</v>
      </c>
      <c r="N133" s="12" t="s">
        <v>204</v>
      </c>
    </row>
    <row r="134" spans="1:14" ht="56.5" x14ac:dyDescent="0.35">
      <c r="A134" s="12" t="s">
        <v>822</v>
      </c>
      <c r="B134" s="18" t="s">
        <v>823</v>
      </c>
      <c r="C134" s="12" t="s">
        <v>122</v>
      </c>
      <c r="D134" s="12" t="s">
        <v>33</v>
      </c>
      <c r="E134" s="12"/>
      <c r="F134" s="12" t="s">
        <v>53</v>
      </c>
      <c r="G134" s="12" t="s">
        <v>54</v>
      </c>
      <c r="H134" s="12" t="s">
        <v>259</v>
      </c>
      <c r="I134" s="12" t="s">
        <v>824</v>
      </c>
      <c r="J134" s="12" t="s">
        <v>825</v>
      </c>
      <c r="K134" s="12" t="s">
        <v>806</v>
      </c>
      <c r="L134" s="18" t="s">
        <v>216</v>
      </c>
      <c r="M134" s="18" t="s">
        <v>826</v>
      </c>
      <c r="N134" s="12" t="s">
        <v>827</v>
      </c>
    </row>
    <row r="135" spans="1:14" ht="28.5" x14ac:dyDescent="0.35">
      <c r="A135" s="12" t="s">
        <v>828</v>
      </c>
      <c r="B135" s="18" t="s">
        <v>829</v>
      </c>
      <c r="C135" s="12" t="s">
        <v>122</v>
      </c>
      <c r="D135" s="12" t="s">
        <v>33</v>
      </c>
      <c r="E135" s="12"/>
      <c r="F135" s="12" t="s">
        <v>57</v>
      </c>
      <c r="G135" s="12" t="s">
        <v>58</v>
      </c>
      <c r="H135" s="12" t="s">
        <v>198</v>
      </c>
      <c r="I135" s="12" t="s">
        <v>830</v>
      </c>
      <c r="J135" s="12" t="s">
        <v>831</v>
      </c>
      <c r="K135" s="12" t="s">
        <v>806</v>
      </c>
      <c r="L135" s="18" t="s">
        <v>209</v>
      </c>
      <c r="M135" s="18" t="s">
        <v>832</v>
      </c>
      <c r="N135" s="12" t="s">
        <v>833</v>
      </c>
    </row>
    <row r="136" spans="1:14" x14ac:dyDescent="0.35">
      <c r="A136" s="12" t="s">
        <v>834</v>
      </c>
      <c r="B136" s="18" t="s">
        <v>835</v>
      </c>
      <c r="C136" s="12" t="s">
        <v>122</v>
      </c>
      <c r="D136" s="12" t="s">
        <v>33</v>
      </c>
      <c r="E136" s="12"/>
      <c r="F136" s="12" t="s">
        <v>59</v>
      </c>
      <c r="G136" s="12" t="s">
        <v>60</v>
      </c>
      <c r="H136" s="12" t="s">
        <v>198</v>
      </c>
      <c r="I136" s="12" t="s">
        <v>836</v>
      </c>
      <c r="J136" s="12" t="s">
        <v>837</v>
      </c>
      <c r="K136" s="12" t="s">
        <v>806</v>
      </c>
      <c r="L136" s="18" t="s">
        <v>209</v>
      </c>
      <c r="M136" s="18" t="s">
        <v>838</v>
      </c>
      <c r="N136" s="12" t="s">
        <v>839</v>
      </c>
    </row>
    <row r="137" spans="1:14" x14ac:dyDescent="0.35">
      <c r="A137" s="12" t="s">
        <v>840</v>
      </c>
      <c r="B137" s="18" t="s">
        <v>841</v>
      </c>
      <c r="C137" s="12" t="s">
        <v>122</v>
      </c>
      <c r="D137" s="12" t="s">
        <v>33</v>
      </c>
      <c r="E137" s="12"/>
      <c r="F137" s="12" t="s">
        <v>53</v>
      </c>
      <c r="G137" s="12" t="s">
        <v>54</v>
      </c>
      <c r="H137" s="12" t="s">
        <v>259</v>
      </c>
      <c r="I137" s="12" t="s">
        <v>842</v>
      </c>
      <c r="J137" s="12" t="s">
        <v>843</v>
      </c>
      <c r="K137" s="12" t="s">
        <v>806</v>
      </c>
      <c r="L137" s="18" t="s">
        <v>209</v>
      </c>
      <c r="M137" s="18" t="s">
        <v>844</v>
      </c>
      <c r="N137" s="12" t="s">
        <v>845</v>
      </c>
    </row>
    <row r="138" spans="1:14" x14ac:dyDescent="0.35">
      <c r="A138" s="18" t="s">
        <v>2626</v>
      </c>
      <c r="B138" s="18" t="s">
        <v>2627</v>
      </c>
      <c r="C138" s="12" t="s">
        <v>122</v>
      </c>
      <c r="D138" s="18" t="s">
        <v>34</v>
      </c>
      <c r="E138" s="18"/>
      <c r="F138" s="12" t="s">
        <v>63</v>
      </c>
      <c r="G138" s="12" t="s">
        <v>64</v>
      </c>
      <c r="H138" s="12" t="s">
        <v>198</v>
      </c>
      <c r="I138" s="12" t="s">
        <v>2628</v>
      </c>
      <c r="J138" s="12" t="s">
        <v>2629</v>
      </c>
      <c r="K138" s="12" t="s">
        <v>850</v>
      </c>
      <c r="L138" s="12" t="s">
        <v>216</v>
      </c>
      <c r="M138" s="18" t="s">
        <v>4714</v>
      </c>
      <c r="N138" s="18" t="s">
        <v>4715</v>
      </c>
    </row>
    <row r="139" spans="1:14" ht="42.5" x14ac:dyDescent="0.35">
      <c r="A139" s="12" t="s">
        <v>846</v>
      </c>
      <c r="B139" s="18" t="s">
        <v>847</v>
      </c>
      <c r="C139" s="12" t="s">
        <v>122</v>
      </c>
      <c r="D139" s="12" t="s">
        <v>33</v>
      </c>
      <c r="E139" s="12"/>
      <c r="F139" s="12" t="s">
        <v>53</v>
      </c>
      <c r="G139" s="12" t="s">
        <v>54</v>
      </c>
      <c r="H139" s="12" t="s">
        <v>198</v>
      </c>
      <c r="I139" s="12" t="s">
        <v>848</v>
      </c>
      <c r="J139" s="12" t="s">
        <v>849</v>
      </c>
      <c r="K139" s="12" t="s">
        <v>850</v>
      </c>
      <c r="L139" s="18" t="s">
        <v>209</v>
      </c>
      <c r="M139" s="18" t="s">
        <v>851</v>
      </c>
      <c r="N139" s="12" t="s">
        <v>852</v>
      </c>
    </row>
    <row r="140" spans="1:14" ht="28.5" x14ac:dyDescent="0.35">
      <c r="A140" s="12" t="s">
        <v>853</v>
      </c>
      <c r="B140" s="18" t="s">
        <v>854</v>
      </c>
      <c r="C140" s="12" t="s">
        <v>122</v>
      </c>
      <c r="D140" s="12" t="s">
        <v>33</v>
      </c>
      <c r="E140" s="12"/>
      <c r="F140" s="12" t="s">
        <v>53</v>
      </c>
      <c r="G140" s="12" t="s">
        <v>54</v>
      </c>
      <c r="H140" s="12" t="s">
        <v>198</v>
      </c>
      <c r="I140" s="12" t="s">
        <v>855</v>
      </c>
      <c r="J140" s="12" t="s">
        <v>856</v>
      </c>
      <c r="K140" s="12" t="s">
        <v>850</v>
      </c>
      <c r="L140" s="18" t="s">
        <v>209</v>
      </c>
      <c r="M140" s="18" t="s">
        <v>857</v>
      </c>
      <c r="N140" s="12" t="s">
        <v>858</v>
      </c>
    </row>
    <row r="141" spans="1:14" x14ac:dyDescent="0.35">
      <c r="A141" s="12" t="s">
        <v>859</v>
      </c>
      <c r="B141" s="18" t="s">
        <v>860</v>
      </c>
      <c r="C141" s="12" t="s">
        <v>122</v>
      </c>
      <c r="D141" s="12" t="s">
        <v>34</v>
      </c>
      <c r="E141" s="12"/>
      <c r="F141" s="12" t="s">
        <v>85</v>
      </c>
      <c r="G141" s="12" t="s">
        <v>86</v>
      </c>
      <c r="H141" s="12" t="s">
        <v>198</v>
      </c>
      <c r="I141" s="12" t="s">
        <v>861</v>
      </c>
      <c r="J141" s="12" t="s">
        <v>862</v>
      </c>
      <c r="K141" s="12" t="s">
        <v>850</v>
      </c>
      <c r="L141" s="18" t="s">
        <v>216</v>
      </c>
      <c r="M141" s="18" t="s">
        <v>863</v>
      </c>
      <c r="N141" s="12" t="s">
        <v>864</v>
      </c>
    </row>
    <row r="142" spans="1:14" ht="28.5" x14ac:dyDescent="0.35">
      <c r="A142" s="12" t="s">
        <v>865</v>
      </c>
      <c r="B142" s="18" t="s">
        <v>866</v>
      </c>
      <c r="C142" s="12" t="s">
        <v>122</v>
      </c>
      <c r="D142" s="12" t="s">
        <v>33</v>
      </c>
      <c r="E142" s="12"/>
      <c r="F142" s="12" t="s">
        <v>59</v>
      </c>
      <c r="G142" s="12" t="s">
        <v>60</v>
      </c>
      <c r="H142" s="12" t="s">
        <v>239</v>
      </c>
      <c r="I142" s="12" t="s">
        <v>867</v>
      </c>
      <c r="J142" s="12" t="s">
        <v>868</v>
      </c>
      <c r="K142" s="12" t="s">
        <v>850</v>
      </c>
      <c r="L142" s="18" t="s">
        <v>202</v>
      </c>
      <c r="M142" s="18" t="s">
        <v>313</v>
      </c>
      <c r="N142" s="12" t="s">
        <v>204</v>
      </c>
    </row>
    <row r="143" spans="1:14" x14ac:dyDescent="0.35">
      <c r="A143" s="12" t="s">
        <v>869</v>
      </c>
      <c r="B143" s="18" t="s">
        <v>870</v>
      </c>
      <c r="C143" s="12" t="s">
        <v>122</v>
      </c>
      <c r="D143" s="12" t="s">
        <v>33</v>
      </c>
      <c r="E143" s="12"/>
      <c r="F143" s="12" t="s">
        <v>53</v>
      </c>
      <c r="G143" s="12" t="s">
        <v>54</v>
      </c>
      <c r="H143" s="12" t="s">
        <v>198</v>
      </c>
      <c r="I143" s="12" t="s">
        <v>871</v>
      </c>
      <c r="J143" s="12" t="s">
        <v>872</v>
      </c>
      <c r="K143" s="12" t="s">
        <v>873</v>
      </c>
      <c r="L143" s="18" t="s">
        <v>209</v>
      </c>
      <c r="M143" s="18" t="s">
        <v>874</v>
      </c>
      <c r="N143" s="12" t="s">
        <v>875</v>
      </c>
    </row>
    <row r="144" spans="1:14" x14ac:dyDescent="0.35">
      <c r="A144" s="12" t="s">
        <v>876</v>
      </c>
      <c r="B144" s="18" t="s">
        <v>877</v>
      </c>
      <c r="C144" s="12" t="s">
        <v>122</v>
      </c>
      <c r="D144" s="12" t="s">
        <v>33</v>
      </c>
      <c r="E144" s="12"/>
      <c r="F144" s="12" t="s">
        <v>53</v>
      </c>
      <c r="G144" s="12" t="s">
        <v>54</v>
      </c>
      <c r="H144" s="12" t="s">
        <v>259</v>
      </c>
      <c r="I144" s="12" t="s">
        <v>878</v>
      </c>
      <c r="J144" s="12" t="s">
        <v>879</v>
      </c>
      <c r="K144" s="12" t="s">
        <v>873</v>
      </c>
      <c r="L144" s="18" t="s">
        <v>202</v>
      </c>
      <c r="M144" s="18" t="s">
        <v>203</v>
      </c>
      <c r="N144" s="12" t="s">
        <v>204</v>
      </c>
    </row>
    <row r="145" spans="1:14" ht="28.5" x14ac:dyDescent="0.35">
      <c r="A145" s="12" t="s">
        <v>880</v>
      </c>
      <c r="B145" s="18" t="s">
        <v>881</v>
      </c>
      <c r="C145" s="12" t="s">
        <v>122</v>
      </c>
      <c r="D145" s="12" t="s">
        <v>33</v>
      </c>
      <c r="E145" s="12"/>
      <c r="F145" s="12" t="s">
        <v>53</v>
      </c>
      <c r="G145" s="12" t="s">
        <v>54</v>
      </c>
      <c r="H145" s="12" t="s">
        <v>198</v>
      </c>
      <c r="I145" s="12" t="s">
        <v>871</v>
      </c>
      <c r="J145" s="12" t="s">
        <v>872</v>
      </c>
      <c r="K145" s="12" t="s">
        <v>873</v>
      </c>
      <c r="L145" s="18" t="s">
        <v>202</v>
      </c>
      <c r="M145" s="18" t="s">
        <v>882</v>
      </c>
      <c r="N145" s="12" t="s">
        <v>204</v>
      </c>
    </row>
    <row r="146" spans="1:14" ht="28.5" x14ac:dyDescent="0.35">
      <c r="A146" s="12" t="s">
        <v>883</v>
      </c>
      <c r="B146" s="18" t="s">
        <v>884</v>
      </c>
      <c r="C146" s="12" t="s">
        <v>122</v>
      </c>
      <c r="D146" s="12" t="s">
        <v>33</v>
      </c>
      <c r="E146" s="12"/>
      <c r="F146" s="12" t="s">
        <v>55</v>
      </c>
      <c r="G146" s="12" t="s">
        <v>56</v>
      </c>
      <c r="H146" s="12" t="s">
        <v>239</v>
      </c>
      <c r="I146" s="12" t="s">
        <v>885</v>
      </c>
      <c r="J146" s="12" t="s">
        <v>886</v>
      </c>
      <c r="K146" s="12" t="s">
        <v>873</v>
      </c>
      <c r="L146" s="18" t="s">
        <v>202</v>
      </c>
      <c r="M146" s="18" t="s">
        <v>371</v>
      </c>
      <c r="N146" s="12" t="s">
        <v>204</v>
      </c>
    </row>
    <row r="147" spans="1:14" ht="28.5" x14ac:dyDescent="0.35">
      <c r="A147" s="12" t="s">
        <v>887</v>
      </c>
      <c r="B147" s="18" t="s">
        <v>888</v>
      </c>
      <c r="C147" s="12" t="s">
        <v>122</v>
      </c>
      <c r="D147" s="12" t="s">
        <v>33</v>
      </c>
      <c r="E147" s="12"/>
      <c r="F147" s="12" t="s">
        <v>61</v>
      </c>
      <c r="G147" s="12" t="s">
        <v>62</v>
      </c>
      <c r="H147" s="12" t="s">
        <v>198</v>
      </c>
      <c r="I147" s="12" t="s">
        <v>889</v>
      </c>
      <c r="J147" s="12" t="s">
        <v>890</v>
      </c>
      <c r="K147" s="12" t="s">
        <v>873</v>
      </c>
      <c r="L147" s="18" t="s">
        <v>202</v>
      </c>
      <c r="M147" s="18" t="s">
        <v>318</v>
      </c>
      <c r="N147" s="12" t="s">
        <v>204</v>
      </c>
    </row>
    <row r="148" spans="1:14" ht="42.5" x14ac:dyDescent="0.35">
      <c r="A148" s="12" t="s">
        <v>891</v>
      </c>
      <c r="B148" s="18" t="s">
        <v>892</v>
      </c>
      <c r="C148" s="12" t="s">
        <v>122</v>
      </c>
      <c r="D148" s="12" t="s">
        <v>34</v>
      </c>
      <c r="E148" s="12"/>
      <c r="F148" s="12" t="s">
        <v>63</v>
      </c>
      <c r="G148" s="12" t="s">
        <v>64</v>
      </c>
      <c r="H148" s="12" t="s">
        <v>198</v>
      </c>
      <c r="I148" s="12" t="s">
        <v>893</v>
      </c>
      <c r="J148" s="12" t="s">
        <v>894</v>
      </c>
      <c r="K148" s="12" t="s">
        <v>873</v>
      </c>
      <c r="L148" s="18" t="s">
        <v>216</v>
      </c>
      <c r="M148" s="18" t="s">
        <v>895</v>
      </c>
      <c r="N148" s="12" t="s">
        <v>896</v>
      </c>
    </row>
    <row r="149" spans="1:14" ht="28.5" x14ac:dyDescent="0.35">
      <c r="A149" s="12" t="s">
        <v>897</v>
      </c>
      <c r="B149" s="18" t="s">
        <v>898</v>
      </c>
      <c r="C149" s="12" t="s">
        <v>122</v>
      </c>
      <c r="D149" s="12" t="s">
        <v>33</v>
      </c>
      <c r="E149" s="12"/>
      <c r="F149" s="12" t="s">
        <v>53</v>
      </c>
      <c r="G149" s="12" t="s">
        <v>54</v>
      </c>
      <c r="H149" s="12" t="s">
        <v>259</v>
      </c>
      <c r="I149" s="12" t="s">
        <v>878</v>
      </c>
      <c r="J149" s="12" t="s">
        <v>879</v>
      </c>
      <c r="K149" s="12" t="s">
        <v>873</v>
      </c>
      <c r="L149" s="18" t="s">
        <v>202</v>
      </c>
      <c r="M149" s="18" t="s">
        <v>654</v>
      </c>
      <c r="N149" s="12" t="s">
        <v>204</v>
      </c>
    </row>
    <row r="150" spans="1:14" ht="28.5" x14ac:dyDescent="0.35">
      <c r="A150" s="12" t="s">
        <v>899</v>
      </c>
      <c r="B150" s="18" t="s">
        <v>900</v>
      </c>
      <c r="C150" s="12" t="s">
        <v>122</v>
      </c>
      <c r="D150" s="12" t="s">
        <v>33</v>
      </c>
      <c r="E150" s="12"/>
      <c r="F150" s="12" t="s">
        <v>55</v>
      </c>
      <c r="G150" s="12" t="s">
        <v>56</v>
      </c>
      <c r="H150" s="12" t="s">
        <v>239</v>
      </c>
      <c r="I150" s="12" t="s">
        <v>901</v>
      </c>
      <c r="J150" s="12" t="s">
        <v>902</v>
      </c>
      <c r="K150" s="12" t="s">
        <v>873</v>
      </c>
      <c r="L150" s="18" t="s">
        <v>202</v>
      </c>
      <c r="M150" s="18" t="s">
        <v>903</v>
      </c>
      <c r="N150" s="12" t="s">
        <v>204</v>
      </c>
    </row>
    <row r="151" spans="1:14" x14ac:dyDescent="0.35">
      <c r="A151" s="12" t="s">
        <v>904</v>
      </c>
      <c r="B151" s="18" t="s">
        <v>905</v>
      </c>
      <c r="C151" s="12" t="s">
        <v>122</v>
      </c>
      <c r="D151" s="12" t="s">
        <v>33</v>
      </c>
      <c r="E151" s="12"/>
      <c r="F151" s="12" t="s">
        <v>55</v>
      </c>
      <c r="G151" s="12" t="s">
        <v>56</v>
      </c>
      <c r="H151" s="12" t="s">
        <v>198</v>
      </c>
      <c r="I151" s="12" t="s">
        <v>906</v>
      </c>
      <c r="J151" s="12" t="s">
        <v>907</v>
      </c>
      <c r="K151" s="12" t="s">
        <v>873</v>
      </c>
      <c r="L151" s="18" t="s">
        <v>209</v>
      </c>
      <c r="M151" s="18" t="s">
        <v>908</v>
      </c>
      <c r="N151" s="12" t="s">
        <v>909</v>
      </c>
    </row>
    <row r="152" spans="1:14" ht="28.5" x14ac:dyDescent="0.35">
      <c r="A152" s="12" t="s">
        <v>910</v>
      </c>
      <c r="B152" s="18" t="s">
        <v>911</v>
      </c>
      <c r="C152" s="12" t="s">
        <v>122</v>
      </c>
      <c r="D152" s="12" t="s">
        <v>33</v>
      </c>
      <c r="E152" s="12"/>
      <c r="F152" s="12" t="s">
        <v>61</v>
      </c>
      <c r="G152" s="12" t="s">
        <v>62</v>
      </c>
      <c r="H152" s="12" t="s">
        <v>259</v>
      </c>
      <c r="I152" s="12" t="s">
        <v>912</v>
      </c>
      <c r="J152" s="12" t="s">
        <v>879</v>
      </c>
      <c r="K152" s="12" t="s">
        <v>873</v>
      </c>
      <c r="L152" s="18" t="s">
        <v>202</v>
      </c>
      <c r="M152" s="18" t="s">
        <v>913</v>
      </c>
      <c r="N152" s="12" t="s">
        <v>204</v>
      </c>
    </row>
    <row r="153" spans="1:14" x14ac:dyDescent="0.35">
      <c r="A153" s="12" t="s">
        <v>914</v>
      </c>
      <c r="B153" s="18" t="s">
        <v>915</v>
      </c>
      <c r="C153" s="12" t="s">
        <v>122</v>
      </c>
      <c r="D153" s="12" t="s">
        <v>33</v>
      </c>
      <c r="E153" s="12"/>
      <c r="F153" s="12" t="s">
        <v>59</v>
      </c>
      <c r="G153" s="12" t="s">
        <v>60</v>
      </c>
      <c r="H153" s="12" t="s">
        <v>198</v>
      </c>
      <c r="I153" s="12" t="s">
        <v>885</v>
      </c>
      <c r="J153" s="12" t="s">
        <v>886</v>
      </c>
      <c r="K153" s="12" t="s">
        <v>873</v>
      </c>
      <c r="L153" s="18" t="s">
        <v>202</v>
      </c>
      <c r="M153" s="18" t="s">
        <v>313</v>
      </c>
      <c r="N153" s="12" t="s">
        <v>204</v>
      </c>
    </row>
    <row r="154" spans="1:14" ht="28.5" x14ac:dyDescent="0.35">
      <c r="A154" s="12" t="s">
        <v>916</v>
      </c>
      <c r="B154" s="18" t="s">
        <v>917</v>
      </c>
      <c r="C154" s="12" t="s">
        <v>122</v>
      </c>
      <c r="D154" s="12" t="s">
        <v>33</v>
      </c>
      <c r="E154" s="12"/>
      <c r="F154" s="12" t="s">
        <v>55</v>
      </c>
      <c r="G154" s="12" t="s">
        <v>56</v>
      </c>
      <c r="H154" s="12" t="s">
        <v>198</v>
      </c>
      <c r="I154" s="12" t="s">
        <v>918</v>
      </c>
      <c r="J154" s="12" t="s">
        <v>919</v>
      </c>
      <c r="K154" s="12" t="s">
        <v>873</v>
      </c>
      <c r="L154" s="18" t="s">
        <v>202</v>
      </c>
      <c r="M154" s="18" t="s">
        <v>920</v>
      </c>
      <c r="N154" s="12" t="s">
        <v>204</v>
      </c>
    </row>
    <row r="155" spans="1:14" ht="28.5" x14ac:dyDescent="0.35">
      <c r="A155" s="12" t="s">
        <v>921</v>
      </c>
      <c r="B155" s="18" t="s">
        <v>922</v>
      </c>
      <c r="C155" s="12" t="s">
        <v>122</v>
      </c>
      <c r="D155" s="12" t="s">
        <v>33</v>
      </c>
      <c r="E155" s="12"/>
      <c r="F155" s="12" t="s">
        <v>53</v>
      </c>
      <c r="G155" s="12" t="s">
        <v>54</v>
      </c>
      <c r="H155" s="12" t="s">
        <v>259</v>
      </c>
      <c r="I155" s="12" t="s">
        <v>923</v>
      </c>
      <c r="J155" s="12" t="s">
        <v>924</v>
      </c>
      <c r="K155" s="12" t="s">
        <v>873</v>
      </c>
      <c r="L155" s="18" t="s">
        <v>209</v>
      </c>
      <c r="M155" s="18" t="s">
        <v>925</v>
      </c>
      <c r="N155" s="12" t="s">
        <v>926</v>
      </c>
    </row>
    <row r="156" spans="1:14" ht="28.5" x14ac:dyDescent="0.35">
      <c r="A156" s="12" t="s">
        <v>931</v>
      </c>
      <c r="B156" s="18" t="s">
        <v>932</v>
      </c>
      <c r="C156" s="12" t="s">
        <v>122</v>
      </c>
      <c r="D156" s="12" t="s">
        <v>33</v>
      </c>
      <c r="E156" s="12"/>
      <c r="F156" s="12" t="s">
        <v>53</v>
      </c>
      <c r="G156" s="12" t="s">
        <v>54</v>
      </c>
      <c r="H156" s="12" t="s">
        <v>239</v>
      </c>
      <c r="I156" s="12" t="s">
        <v>929</v>
      </c>
      <c r="J156" s="12" t="s">
        <v>886</v>
      </c>
      <c r="K156" s="12" t="s">
        <v>873</v>
      </c>
      <c r="L156" s="18" t="s">
        <v>202</v>
      </c>
      <c r="M156" s="18" t="s">
        <v>933</v>
      </c>
      <c r="N156" s="12" t="s">
        <v>204</v>
      </c>
    </row>
    <row r="157" spans="1:14" x14ac:dyDescent="0.35">
      <c r="A157" s="12" t="s">
        <v>927</v>
      </c>
      <c r="B157" s="18" t="s">
        <v>928</v>
      </c>
      <c r="C157" s="12" t="s">
        <v>122</v>
      </c>
      <c r="D157" s="12" t="s">
        <v>33</v>
      </c>
      <c r="E157" s="12"/>
      <c r="F157" s="12" t="s">
        <v>63</v>
      </c>
      <c r="G157" s="12" t="s">
        <v>64</v>
      </c>
      <c r="H157" s="12" t="s">
        <v>198</v>
      </c>
      <c r="I157" s="12" t="s">
        <v>929</v>
      </c>
      <c r="J157" s="12" t="s">
        <v>886</v>
      </c>
      <c r="K157" s="12" t="s">
        <v>873</v>
      </c>
      <c r="L157" s="18" t="s">
        <v>202</v>
      </c>
      <c r="M157" s="18" t="s">
        <v>930</v>
      </c>
      <c r="N157" s="12" t="s">
        <v>204</v>
      </c>
    </row>
    <row r="158" spans="1:14" x14ac:dyDescent="0.35">
      <c r="A158" s="12" t="s">
        <v>934</v>
      </c>
      <c r="B158" s="18" t="s">
        <v>935</v>
      </c>
      <c r="C158" s="12" t="s">
        <v>122</v>
      </c>
      <c r="D158" s="12" t="s">
        <v>33</v>
      </c>
      <c r="E158" s="12"/>
      <c r="F158" s="12" t="s">
        <v>55</v>
      </c>
      <c r="G158" s="12" t="s">
        <v>56</v>
      </c>
      <c r="H158" s="12" t="s">
        <v>239</v>
      </c>
      <c r="I158" s="12" t="s">
        <v>936</v>
      </c>
      <c r="J158" s="12" t="s">
        <v>886</v>
      </c>
      <c r="K158" s="12" t="s">
        <v>873</v>
      </c>
      <c r="L158" s="18" t="s">
        <v>202</v>
      </c>
      <c r="M158" s="18" t="s">
        <v>937</v>
      </c>
      <c r="N158" s="12" t="s">
        <v>204</v>
      </c>
    </row>
    <row r="159" spans="1:14" ht="28.5" x14ac:dyDescent="0.35">
      <c r="A159" s="12" t="s">
        <v>938</v>
      </c>
      <c r="B159" s="18" t="s">
        <v>939</v>
      </c>
      <c r="C159" s="12" t="s">
        <v>122</v>
      </c>
      <c r="D159" s="12" t="s">
        <v>33</v>
      </c>
      <c r="E159" s="12"/>
      <c r="F159" s="12" t="s">
        <v>57</v>
      </c>
      <c r="G159" s="12" t="s">
        <v>58</v>
      </c>
      <c r="H159" s="12" t="s">
        <v>198</v>
      </c>
      <c r="I159" s="12" t="s">
        <v>940</v>
      </c>
      <c r="J159" s="12" t="s">
        <v>941</v>
      </c>
      <c r="K159" s="12" t="s">
        <v>873</v>
      </c>
      <c r="L159" s="18" t="s">
        <v>216</v>
      </c>
      <c r="M159" s="18" t="s">
        <v>942</v>
      </c>
      <c r="N159" s="12" t="s">
        <v>943</v>
      </c>
    </row>
    <row r="160" spans="1:14" ht="42.5" x14ac:dyDescent="0.35">
      <c r="A160" s="12" t="s">
        <v>944</v>
      </c>
      <c r="B160" s="18" t="s">
        <v>945</v>
      </c>
      <c r="C160" s="12" t="s">
        <v>122</v>
      </c>
      <c r="D160" s="12" t="s">
        <v>34</v>
      </c>
      <c r="E160" s="12"/>
      <c r="F160" s="12" t="s">
        <v>65</v>
      </c>
      <c r="G160" s="12" t="s">
        <v>66</v>
      </c>
      <c r="H160" s="12" t="s">
        <v>198</v>
      </c>
      <c r="I160" s="12" t="s">
        <v>906</v>
      </c>
      <c r="J160" s="12" t="s">
        <v>907</v>
      </c>
      <c r="K160" s="12" t="s">
        <v>873</v>
      </c>
      <c r="L160" s="18" t="s">
        <v>202</v>
      </c>
      <c r="M160" s="18" t="s">
        <v>946</v>
      </c>
      <c r="N160" s="12" t="s">
        <v>947</v>
      </c>
    </row>
    <row r="161" spans="1:14" ht="28.5" x14ac:dyDescent="0.35">
      <c r="A161" s="12" t="s">
        <v>948</v>
      </c>
      <c r="B161" s="18" t="s">
        <v>949</v>
      </c>
      <c r="C161" s="12" t="s">
        <v>122</v>
      </c>
      <c r="D161" s="12" t="s">
        <v>33</v>
      </c>
      <c r="E161" s="12"/>
      <c r="F161" s="12" t="s">
        <v>57</v>
      </c>
      <c r="G161" s="12" t="s">
        <v>58</v>
      </c>
      <c r="H161" s="12" t="s">
        <v>259</v>
      </c>
      <c r="I161" s="12" t="s">
        <v>950</v>
      </c>
      <c r="J161" s="12" t="s">
        <v>951</v>
      </c>
      <c r="K161" s="12" t="s">
        <v>873</v>
      </c>
      <c r="L161" s="18" t="s">
        <v>202</v>
      </c>
      <c r="M161" s="18" t="s">
        <v>952</v>
      </c>
      <c r="N161" s="12" t="s">
        <v>204</v>
      </c>
    </row>
    <row r="162" spans="1:14" ht="28.5" x14ac:dyDescent="0.35">
      <c r="A162" s="12" t="s">
        <v>953</v>
      </c>
      <c r="B162" s="18" t="s">
        <v>954</v>
      </c>
      <c r="C162" s="12" t="s">
        <v>122</v>
      </c>
      <c r="D162" s="12" t="s">
        <v>33</v>
      </c>
      <c r="E162" s="12"/>
      <c r="F162" s="12" t="s">
        <v>53</v>
      </c>
      <c r="G162" s="12" t="s">
        <v>54</v>
      </c>
      <c r="H162" s="12" t="s">
        <v>198</v>
      </c>
      <c r="I162" s="12" t="s">
        <v>955</v>
      </c>
      <c r="J162" s="12" t="s">
        <v>956</v>
      </c>
      <c r="K162" s="12" t="s">
        <v>957</v>
      </c>
      <c r="L162" s="18" t="s">
        <v>202</v>
      </c>
      <c r="M162" s="18" t="s">
        <v>229</v>
      </c>
      <c r="N162" s="12" t="s">
        <v>204</v>
      </c>
    </row>
    <row r="163" spans="1:14" ht="42.5" x14ac:dyDescent="0.35">
      <c r="A163" s="12" t="s">
        <v>958</v>
      </c>
      <c r="B163" s="18" t="s">
        <v>959</v>
      </c>
      <c r="C163" s="12" t="s">
        <v>122</v>
      </c>
      <c r="D163" s="12" t="s">
        <v>33</v>
      </c>
      <c r="E163" s="12"/>
      <c r="F163" s="12" t="s">
        <v>59</v>
      </c>
      <c r="G163" s="12" t="s">
        <v>60</v>
      </c>
      <c r="H163" s="12" t="s">
        <v>198</v>
      </c>
      <c r="I163" s="12" t="s">
        <v>960</v>
      </c>
      <c r="J163" s="12" t="s">
        <v>961</v>
      </c>
      <c r="K163" s="12" t="s">
        <v>962</v>
      </c>
      <c r="L163" s="18" t="s">
        <v>202</v>
      </c>
      <c r="M163" s="18" t="s">
        <v>313</v>
      </c>
      <c r="N163" s="12" t="s">
        <v>204</v>
      </c>
    </row>
    <row r="164" spans="1:14" ht="42.5" x14ac:dyDescent="0.35">
      <c r="A164" s="12" t="s">
        <v>963</v>
      </c>
      <c r="B164" s="18" t="s">
        <v>964</v>
      </c>
      <c r="C164" s="12" t="s">
        <v>122</v>
      </c>
      <c r="D164" s="12" t="s">
        <v>33</v>
      </c>
      <c r="E164" s="12"/>
      <c r="F164" s="12" t="s">
        <v>53</v>
      </c>
      <c r="G164" s="12" t="s">
        <v>54</v>
      </c>
      <c r="H164" s="12" t="s">
        <v>198</v>
      </c>
      <c r="I164" s="12" t="s">
        <v>965</v>
      </c>
      <c r="J164" s="12" t="s">
        <v>966</v>
      </c>
      <c r="K164" s="12" t="s">
        <v>962</v>
      </c>
      <c r="L164" s="18" t="s">
        <v>202</v>
      </c>
      <c r="M164" s="18" t="s">
        <v>229</v>
      </c>
      <c r="N164" s="12" t="s">
        <v>204</v>
      </c>
    </row>
    <row r="165" spans="1:14" x14ac:dyDescent="0.35">
      <c r="A165" s="12" t="s">
        <v>967</v>
      </c>
      <c r="B165" s="18" t="s">
        <v>968</v>
      </c>
      <c r="C165" s="12" t="s">
        <v>122</v>
      </c>
      <c r="D165" s="12" t="s">
        <v>33</v>
      </c>
      <c r="E165" s="12"/>
      <c r="F165" s="12" t="s">
        <v>55</v>
      </c>
      <c r="G165" s="12" t="s">
        <v>56</v>
      </c>
      <c r="H165" s="12" t="s">
        <v>259</v>
      </c>
      <c r="I165" s="12" t="s">
        <v>969</v>
      </c>
      <c r="J165" s="12" t="s">
        <v>970</v>
      </c>
      <c r="K165" s="12" t="s">
        <v>971</v>
      </c>
      <c r="L165" s="18" t="s">
        <v>202</v>
      </c>
      <c r="M165" s="18" t="s">
        <v>972</v>
      </c>
      <c r="N165" s="12" t="s">
        <v>204</v>
      </c>
    </row>
    <row r="166" spans="1:14" ht="28.5" x14ac:dyDescent="0.35">
      <c r="A166" s="12" t="s">
        <v>973</v>
      </c>
      <c r="B166" s="18" t="s">
        <v>974</v>
      </c>
      <c r="C166" s="12" t="s">
        <v>122</v>
      </c>
      <c r="D166" s="12" t="s">
        <v>33</v>
      </c>
      <c r="E166" s="12"/>
      <c r="F166" s="12" t="s">
        <v>59</v>
      </c>
      <c r="G166" s="12" t="s">
        <v>60</v>
      </c>
      <c r="H166" s="12" t="s">
        <v>239</v>
      </c>
      <c r="I166" s="12" t="s">
        <v>975</v>
      </c>
      <c r="J166" s="12" t="s">
        <v>976</v>
      </c>
      <c r="K166" s="12" t="s">
        <v>971</v>
      </c>
      <c r="L166" s="18" t="s">
        <v>202</v>
      </c>
      <c r="M166" s="18" t="s">
        <v>313</v>
      </c>
      <c r="N166" s="12" t="s">
        <v>204</v>
      </c>
    </row>
    <row r="167" spans="1:14" x14ac:dyDescent="0.35">
      <c r="A167" s="12" t="s">
        <v>977</v>
      </c>
      <c r="B167" s="18" t="s">
        <v>978</v>
      </c>
      <c r="C167" s="12" t="s">
        <v>122</v>
      </c>
      <c r="D167" s="12" t="s">
        <v>33</v>
      </c>
      <c r="E167" s="12"/>
      <c r="F167" s="12" t="s">
        <v>53</v>
      </c>
      <c r="G167" s="12" t="s">
        <v>54</v>
      </c>
      <c r="H167" s="12" t="s">
        <v>259</v>
      </c>
      <c r="I167" s="12" t="s">
        <v>979</v>
      </c>
      <c r="J167" s="12" t="s">
        <v>980</v>
      </c>
      <c r="K167" s="12" t="s">
        <v>971</v>
      </c>
      <c r="L167" s="18" t="s">
        <v>202</v>
      </c>
      <c r="M167" s="18" t="s">
        <v>229</v>
      </c>
      <c r="N167" s="12" t="s">
        <v>204</v>
      </c>
    </row>
    <row r="168" spans="1:14" ht="28.5" x14ac:dyDescent="0.35">
      <c r="A168" s="12" t="s">
        <v>981</v>
      </c>
      <c r="B168" s="18" t="s">
        <v>982</v>
      </c>
      <c r="C168" s="12" t="s">
        <v>122</v>
      </c>
      <c r="D168" s="12" t="s">
        <v>33</v>
      </c>
      <c r="E168" s="12"/>
      <c r="F168" s="12" t="s">
        <v>53</v>
      </c>
      <c r="G168" s="12" t="s">
        <v>54</v>
      </c>
      <c r="H168" s="12" t="s">
        <v>259</v>
      </c>
      <c r="I168" s="12" t="s">
        <v>983</v>
      </c>
      <c r="J168" s="12" t="s">
        <v>984</v>
      </c>
      <c r="K168" s="12" t="s">
        <v>985</v>
      </c>
      <c r="L168" s="18" t="s">
        <v>202</v>
      </c>
      <c r="M168" s="18" t="s">
        <v>229</v>
      </c>
      <c r="N168" s="12" t="s">
        <v>204</v>
      </c>
    </row>
    <row r="169" spans="1:14" ht="42.5" x14ac:dyDescent="0.35">
      <c r="A169" s="12" t="s">
        <v>986</v>
      </c>
      <c r="B169" s="18" t="s">
        <v>987</v>
      </c>
      <c r="C169" s="12" t="s">
        <v>122</v>
      </c>
      <c r="D169" s="12" t="s">
        <v>33</v>
      </c>
      <c r="E169" s="12"/>
      <c r="F169" s="12" t="s">
        <v>63</v>
      </c>
      <c r="G169" s="12" t="s">
        <v>64</v>
      </c>
      <c r="H169" s="12" t="s">
        <v>198</v>
      </c>
      <c r="I169" s="12" t="s">
        <v>988</v>
      </c>
      <c r="J169" s="12" t="s">
        <v>989</v>
      </c>
      <c r="K169" s="12" t="s">
        <v>985</v>
      </c>
      <c r="L169" s="18" t="s">
        <v>209</v>
      </c>
      <c r="M169" s="18" t="s">
        <v>990</v>
      </c>
      <c r="N169" s="12" t="s">
        <v>991</v>
      </c>
    </row>
    <row r="170" spans="1:14" x14ac:dyDescent="0.35">
      <c r="A170" s="12" t="s">
        <v>992</v>
      </c>
      <c r="B170" s="18" t="s">
        <v>993</v>
      </c>
      <c r="C170" s="12" t="s">
        <v>122</v>
      </c>
      <c r="D170" s="12" t="s">
        <v>33</v>
      </c>
      <c r="E170" s="12"/>
      <c r="F170" s="12" t="s">
        <v>55</v>
      </c>
      <c r="G170" s="12" t="s">
        <v>56</v>
      </c>
      <c r="H170" s="12" t="s">
        <v>198</v>
      </c>
      <c r="I170" s="12" t="s">
        <v>994</v>
      </c>
      <c r="J170" s="12" t="s">
        <v>995</v>
      </c>
      <c r="K170" s="12" t="s">
        <v>985</v>
      </c>
      <c r="L170" s="18" t="s">
        <v>202</v>
      </c>
      <c r="M170" s="18" t="s">
        <v>371</v>
      </c>
      <c r="N170" s="12" t="s">
        <v>204</v>
      </c>
    </row>
    <row r="171" spans="1:14" x14ac:dyDescent="0.35">
      <c r="A171" s="12" t="s">
        <v>996</v>
      </c>
      <c r="B171" s="18" t="s">
        <v>997</v>
      </c>
      <c r="C171" s="12" t="s">
        <v>122</v>
      </c>
      <c r="D171" s="12" t="s">
        <v>33</v>
      </c>
      <c r="E171" s="12"/>
      <c r="F171" s="12" t="s">
        <v>61</v>
      </c>
      <c r="G171" s="12" t="s">
        <v>62</v>
      </c>
      <c r="H171" s="12" t="s">
        <v>198</v>
      </c>
      <c r="I171" s="12" t="s">
        <v>998</v>
      </c>
      <c r="J171" s="12" t="s">
        <v>999</v>
      </c>
      <c r="K171" s="12" t="s">
        <v>985</v>
      </c>
      <c r="L171" s="18" t="s">
        <v>202</v>
      </c>
      <c r="M171" s="18" t="s">
        <v>1000</v>
      </c>
      <c r="N171" s="12" t="s">
        <v>204</v>
      </c>
    </row>
    <row r="172" spans="1:14" ht="42.5" x14ac:dyDescent="0.35">
      <c r="A172" s="18" t="s">
        <v>2646</v>
      </c>
      <c r="B172" s="18" t="s">
        <v>2647</v>
      </c>
      <c r="C172" s="12" t="s">
        <v>122</v>
      </c>
      <c r="D172" s="18" t="s">
        <v>33</v>
      </c>
      <c r="E172" s="18"/>
      <c r="F172" s="12" t="s">
        <v>53</v>
      </c>
      <c r="G172" s="12" t="s">
        <v>54</v>
      </c>
      <c r="H172" s="12" t="s">
        <v>198</v>
      </c>
      <c r="I172" s="12" t="s">
        <v>1007</v>
      </c>
      <c r="J172" s="12" t="s">
        <v>1023</v>
      </c>
      <c r="K172" s="12" t="s">
        <v>985</v>
      </c>
      <c r="L172" s="12" t="s">
        <v>216</v>
      </c>
      <c r="M172" s="18" t="s">
        <v>4716</v>
      </c>
      <c r="N172" s="18" t="s">
        <v>4717</v>
      </c>
    </row>
    <row r="173" spans="1:14" ht="28.5" x14ac:dyDescent="0.35">
      <c r="A173" s="12" t="s">
        <v>1001</v>
      </c>
      <c r="B173" s="18" t="s">
        <v>1002</v>
      </c>
      <c r="C173" s="12" t="s">
        <v>122</v>
      </c>
      <c r="D173" s="12" t="s">
        <v>33</v>
      </c>
      <c r="E173" s="12"/>
      <c r="F173" s="12" t="s">
        <v>53</v>
      </c>
      <c r="G173" s="12" t="s">
        <v>54</v>
      </c>
      <c r="H173" s="12" t="s">
        <v>239</v>
      </c>
      <c r="I173" s="12" t="s">
        <v>1003</v>
      </c>
      <c r="J173" s="12" t="s">
        <v>1004</v>
      </c>
      <c r="K173" s="12" t="s">
        <v>985</v>
      </c>
      <c r="L173" s="18" t="s">
        <v>202</v>
      </c>
      <c r="M173" s="18" t="s">
        <v>229</v>
      </c>
      <c r="N173" s="12" t="s">
        <v>204</v>
      </c>
    </row>
    <row r="174" spans="1:14" x14ac:dyDescent="0.35">
      <c r="A174" s="12" t="s">
        <v>1005</v>
      </c>
      <c r="B174" s="18" t="s">
        <v>1006</v>
      </c>
      <c r="C174" s="12" t="s">
        <v>122</v>
      </c>
      <c r="D174" s="12" t="s">
        <v>33</v>
      </c>
      <c r="E174" s="12"/>
      <c r="F174" s="12" t="s">
        <v>53</v>
      </c>
      <c r="G174" s="12" t="s">
        <v>54</v>
      </c>
      <c r="H174" s="12" t="s">
        <v>198</v>
      </c>
      <c r="I174" s="12" t="s">
        <v>1007</v>
      </c>
      <c r="J174" s="12" t="s">
        <v>1008</v>
      </c>
      <c r="K174" s="12" t="s">
        <v>985</v>
      </c>
      <c r="L174" s="18" t="s">
        <v>202</v>
      </c>
      <c r="M174" s="18" t="s">
        <v>229</v>
      </c>
      <c r="N174" s="12" t="s">
        <v>204</v>
      </c>
    </row>
    <row r="175" spans="1:14" ht="28.5" x14ac:dyDescent="0.35">
      <c r="A175" s="12" t="s">
        <v>1009</v>
      </c>
      <c r="B175" s="18" t="s">
        <v>1010</v>
      </c>
      <c r="C175" s="12" t="s">
        <v>122</v>
      </c>
      <c r="D175" s="12" t="s">
        <v>33</v>
      </c>
      <c r="E175" s="12"/>
      <c r="F175" s="12" t="s">
        <v>55</v>
      </c>
      <c r="G175" s="12" t="s">
        <v>56</v>
      </c>
      <c r="H175" s="12" t="s">
        <v>259</v>
      </c>
      <c r="I175" s="12" t="s">
        <v>994</v>
      </c>
      <c r="J175" s="12" t="s">
        <v>995</v>
      </c>
      <c r="K175" s="12" t="s">
        <v>985</v>
      </c>
      <c r="L175" s="18" t="s">
        <v>202</v>
      </c>
      <c r="M175" s="18" t="s">
        <v>1011</v>
      </c>
      <c r="N175" s="12" t="s">
        <v>204</v>
      </c>
    </row>
    <row r="176" spans="1:14" ht="56.5" x14ac:dyDescent="0.35">
      <c r="A176" s="12" t="s">
        <v>1012</v>
      </c>
      <c r="B176" s="18" t="s">
        <v>1013</v>
      </c>
      <c r="C176" s="12" t="s">
        <v>122</v>
      </c>
      <c r="D176" s="12" t="s">
        <v>33</v>
      </c>
      <c r="E176" s="12"/>
      <c r="F176" s="12" t="s">
        <v>57</v>
      </c>
      <c r="G176" s="12" t="s">
        <v>58</v>
      </c>
      <c r="H176" s="12" t="s">
        <v>198</v>
      </c>
      <c r="I176" s="12" t="s">
        <v>1014</v>
      </c>
      <c r="J176" s="12" t="s">
        <v>1015</v>
      </c>
      <c r="K176" s="12" t="s">
        <v>985</v>
      </c>
      <c r="L176" s="18" t="s">
        <v>202</v>
      </c>
      <c r="M176" s="18" t="s">
        <v>414</v>
      </c>
      <c r="N176" s="12" t="s">
        <v>204</v>
      </c>
    </row>
    <row r="177" spans="1:14" x14ac:dyDescent="0.35">
      <c r="A177" s="12" t="s">
        <v>1016</v>
      </c>
      <c r="B177" s="18" t="s">
        <v>1017</v>
      </c>
      <c r="C177" s="12" t="s">
        <v>122</v>
      </c>
      <c r="D177" s="12" t="s">
        <v>33</v>
      </c>
      <c r="E177" s="12"/>
      <c r="F177" s="12" t="s">
        <v>75</v>
      </c>
      <c r="G177" s="12" t="s">
        <v>76</v>
      </c>
      <c r="H177" s="12" t="s">
        <v>198</v>
      </c>
      <c r="I177" s="12" t="s">
        <v>1018</v>
      </c>
      <c r="J177" s="12" t="s">
        <v>1019</v>
      </c>
      <c r="K177" s="12" t="s">
        <v>985</v>
      </c>
      <c r="L177" s="18" t="s">
        <v>202</v>
      </c>
      <c r="M177" s="18" t="s">
        <v>1020</v>
      </c>
      <c r="N177" s="12" t="s">
        <v>204</v>
      </c>
    </row>
    <row r="178" spans="1:14" x14ac:dyDescent="0.35">
      <c r="A178" s="12" t="s">
        <v>1021</v>
      </c>
      <c r="B178" s="18" t="s">
        <v>1022</v>
      </c>
      <c r="C178" s="12" t="s">
        <v>122</v>
      </c>
      <c r="D178" s="12" t="s">
        <v>33</v>
      </c>
      <c r="E178" s="12"/>
      <c r="F178" s="12" t="s">
        <v>69</v>
      </c>
      <c r="G178" s="12" t="s">
        <v>70</v>
      </c>
      <c r="H178" s="12" t="s">
        <v>259</v>
      </c>
      <c r="I178" s="12" t="s">
        <v>1007</v>
      </c>
      <c r="J178" s="12" t="s">
        <v>1023</v>
      </c>
      <c r="K178" s="12" t="s">
        <v>985</v>
      </c>
      <c r="L178" s="18" t="s">
        <v>202</v>
      </c>
      <c r="M178" s="18" t="s">
        <v>375</v>
      </c>
      <c r="N178" s="12" t="s">
        <v>204</v>
      </c>
    </row>
    <row r="179" spans="1:14" ht="42.5" x14ac:dyDescent="0.35">
      <c r="A179" s="12" t="s">
        <v>1024</v>
      </c>
      <c r="B179" s="18" t="s">
        <v>1025</v>
      </c>
      <c r="C179" s="12" t="s">
        <v>122</v>
      </c>
      <c r="D179" s="12" t="s">
        <v>34</v>
      </c>
      <c r="E179" s="12"/>
      <c r="F179" s="12" t="s">
        <v>63</v>
      </c>
      <c r="G179" s="12" t="s">
        <v>64</v>
      </c>
      <c r="H179" s="12" t="s">
        <v>239</v>
      </c>
      <c r="I179" s="12" t="s">
        <v>1007</v>
      </c>
      <c r="J179" s="12" t="s">
        <v>1023</v>
      </c>
      <c r="K179" s="12" t="s">
        <v>985</v>
      </c>
      <c r="L179" s="18" t="s">
        <v>216</v>
      </c>
      <c r="M179" s="18" t="s">
        <v>1026</v>
      </c>
      <c r="N179" s="12" t="s">
        <v>1027</v>
      </c>
    </row>
    <row r="180" spans="1:14" ht="28.5" x14ac:dyDescent="0.35">
      <c r="A180" s="12" t="s">
        <v>1028</v>
      </c>
      <c r="B180" s="18" t="s">
        <v>1029</v>
      </c>
      <c r="C180" s="12" t="s">
        <v>122</v>
      </c>
      <c r="D180" s="12" t="s">
        <v>33</v>
      </c>
      <c r="E180" s="12"/>
      <c r="F180" s="12" t="s">
        <v>61</v>
      </c>
      <c r="G180" s="12" t="s">
        <v>62</v>
      </c>
      <c r="H180" s="12" t="s">
        <v>198</v>
      </c>
      <c r="I180" s="12" t="s">
        <v>1030</v>
      </c>
      <c r="J180" s="12" t="s">
        <v>1031</v>
      </c>
      <c r="K180" s="12" t="s">
        <v>985</v>
      </c>
      <c r="L180" s="18" t="s">
        <v>202</v>
      </c>
      <c r="M180" s="18" t="s">
        <v>1032</v>
      </c>
      <c r="N180" s="12" t="s">
        <v>204</v>
      </c>
    </row>
    <row r="181" spans="1:14" x14ac:dyDescent="0.35">
      <c r="A181" s="12" t="s">
        <v>1033</v>
      </c>
      <c r="B181" s="18" t="s">
        <v>1034</v>
      </c>
      <c r="C181" s="12" t="s">
        <v>122</v>
      </c>
      <c r="D181" s="12" t="s">
        <v>33</v>
      </c>
      <c r="E181" s="12"/>
      <c r="F181" s="12" t="s">
        <v>59</v>
      </c>
      <c r="G181" s="12" t="s">
        <v>60</v>
      </c>
      <c r="H181" s="12" t="s">
        <v>259</v>
      </c>
      <c r="I181" s="12" t="s">
        <v>1035</v>
      </c>
      <c r="J181" s="12" t="s">
        <v>1036</v>
      </c>
      <c r="K181" s="12" t="s">
        <v>1037</v>
      </c>
      <c r="L181" s="18" t="s">
        <v>202</v>
      </c>
      <c r="M181" s="18" t="s">
        <v>313</v>
      </c>
      <c r="N181" s="12" t="s">
        <v>204</v>
      </c>
    </row>
    <row r="182" spans="1:14" ht="28.5" x14ac:dyDescent="0.35">
      <c r="A182" s="12" t="s">
        <v>1038</v>
      </c>
      <c r="B182" s="18" t="s">
        <v>1039</v>
      </c>
      <c r="C182" s="12" t="s">
        <v>122</v>
      </c>
      <c r="D182" s="12" t="s">
        <v>33</v>
      </c>
      <c r="E182" s="12"/>
      <c r="F182" s="12" t="s">
        <v>61</v>
      </c>
      <c r="G182" s="12" t="s">
        <v>62</v>
      </c>
      <c r="H182" s="12" t="s">
        <v>239</v>
      </c>
      <c r="I182" s="12" t="s">
        <v>1040</v>
      </c>
      <c r="J182" s="12" t="s">
        <v>1041</v>
      </c>
      <c r="K182" s="12" t="s">
        <v>1037</v>
      </c>
      <c r="L182" s="18" t="s">
        <v>202</v>
      </c>
      <c r="M182" s="18" t="s">
        <v>1042</v>
      </c>
      <c r="N182" s="12" t="s">
        <v>204</v>
      </c>
    </row>
    <row r="183" spans="1:14" ht="28.5" x14ac:dyDescent="0.35">
      <c r="A183" s="12" t="s">
        <v>1043</v>
      </c>
      <c r="B183" s="18" t="s">
        <v>1044</v>
      </c>
      <c r="C183" s="12" t="s">
        <v>122</v>
      </c>
      <c r="D183" s="12" t="s">
        <v>33</v>
      </c>
      <c r="E183" s="12"/>
      <c r="F183" s="12" t="s">
        <v>53</v>
      </c>
      <c r="G183" s="12" t="s">
        <v>54</v>
      </c>
      <c r="H183" s="12" t="s">
        <v>198</v>
      </c>
      <c r="I183" s="12" t="s">
        <v>1045</v>
      </c>
      <c r="J183" s="12" t="s">
        <v>1046</v>
      </c>
      <c r="K183" s="12" t="s">
        <v>1047</v>
      </c>
      <c r="L183" s="18" t="s">
        <v>202</v>
      </c>
      <c r="M183" s="18" t="s">
        <v>1048</v>
      </c>
      <c r="N183" s="12" t="s">
        <v>204</v>
      </c>
    </row>
    <row r="184" spans="1:14" x14ac:dyDescent="0.35">
      <c r="A184" s="12" t="s">
        <v>1049</v>
      </c>
      <c r="B184" s="18" t="s">
        <v>1050</v>
      </c>
      <c r="C184" s="12" t="s">
        <v>122</v>
      </c>
      <c r="D184" s="12" t="s">
        <v>33</v>
      </c>
      <c r="E184" s="12"/>
      <c r="F184" s="12" t="s">
        <v>61</v>
      </c>
      <c r="G184" s="12" t="s">
        <v>62</v>
      </c>
      <c r="H184" s="12" t="s">
        <v>198</v>
      </c>
      <c r="I184" s="12" t="s">
        <v>1051</v>
      </c>
      <c r="J184" s="12" t="s">
        <v>1052</v>
      </c>
      <c r="K184" s="12" t="s">
        <v>1047</v>
      </c>
      <c r="L184" s="18" t="s">
        <v>209</v>
      </c>
      <c r="M184" s="18" t="s">
        <v>1053</v>
      </c>
      <c r="N184" s="12" t="s">
        <v>1054</v>
      </c>
    </row>
    <row r="185" spans="1:14" ht="28.5" x14ac:dyDescent="0.35">
      <c r="A185" s="12" t="s">
        <v>1055</v>
      </c>
      <c r="B185" s="18" t="s">
        <v>1056</v>
      </c>
      <c r="C185" s="12" t="s">
        <v>122</v>
      </c>
      <c r="D185" s="12" t="s">
        <v>38</v>
      </c>
      <c r="E185" s="12"/>
      <c r="F185" s="12" t="s">
        <v>55</v>
      </c>
      <c r="G185" s="12" t="s">
        <v>56</v>
      </c>
      <c r="H185" s="12" t="s">
        <v>198</v>
      </c>
      <c r="I185" s="12" t="s">
        <v>1057</v>
      </c>
      <c r="J185" s="12" t="s">
        <v>1058</v>
      </c>
      <c r="K185" s="12" t="s">
        <v>1047</v>
      </c>
      <c r="L185" s="18" t="s">
        <v>209</v>
      </c>
      <c r="M185" s="18" t="s">
        <v>1059</v>
      </c>
      <c r="N185" s="12" t="s">
        <v>1060</v>
      </c>
    </row>
    <row r="186" spans="1:14" ht="28.5" x14ac:dyDescent="0.35">
      <c r="A186" s="12" t="s">
        <v>1061</v>
      </c>
      <c r="B186" s="18" t="s">
        <v>1062</v>
      </c>
      <c r="C186" s="12" t="s">
        <v>122</v>
      </c>
      <c r="D186" s="12" t="s">
        <v>33</v>
      </c>
      <c r="E186" s="12"/>
      <c r="F186" s="12" t="s">
        <v>71</v>
      </c>
      <c r="G186" s="12" t="s">
        <v>72</v>
      </c>
      <c r="H186" s="12" t="s">
        <v>198</v>
      </c>
      <c r="I186" s="12" t="s">
        <v>1063</v>
      </c>
      <c r="J186" s="12" t="s">
        <v>1064</v>
      </c>
      <c r="K186" s="12" t="s">
        <v>1047</v>
      </c>
      <c r="L186" s="18" t="s">
        <v>202</v>
      </c>
      <c r="M186" s="18" t="s">
        <v>1065</v>
      </c>
      <c r="N186" s="12" t="s">
        <v>204</v>
      </c>
    </row>
    <row r="187" spans="1:14" x14ac:dyDescent="0.35">
      <c r="A187" s="12" t="s">
        <v>1066</v>
      </c>
      <c r="B187" s="18" t="s">
        <v>1067</v>
      </c>
      <c r="C187" s="12" t="s">
        <v>122</v>
      </c>
      <c r="D187" s="12" t="s">
        <v>33</v>
      </c>
      <c r="E187" s="12"/>
      <c r="F187" s="12" t="s">
        <v>53</v>
      </c>
      <c r="G187" s="12" t="s">
        <v>54</v>
      </c>
      <c r="H187" s="12" t="s">
        <v>259</v>
      </c>
      <c r="I187" s="12" t="s">
        <v>1068</v>
      </c>
      <c r="J187" s="12" t="s">
        <v>1069</v>
      </c>
      <c r="K187" s="12" t="s">
        <v>1047</v>
      </c>
      <c r="L187" s="18" t="s">
        <v>209</v>
      </c>
      <c r="M187" s="18" t="s">
        <v>1070</v>
      </c>
      <c r="N187" s="12" t="s">
        <v>1071</v>
      </c>
    </row>
    <row r="188" spans="1:14" x14ac:dyDescent="0.35">
      <c r="A188" s="12" t="s">
        <v>1072</v>
      </c>
      <c r="B188" s="18" t="s">
        <v>1073</v>
      </c>
      <c r="C188" s="12" t="s">
        <v>122</v>
      </c>
      <c r="D188" s="12" t="s">
        <v>33</v>
      </c>
      <c r="E188" s="12"/>
      <c r="F188" s="12" t="s">
        <v>53</v>
      </c>
      <c r="G188" s="12" t="s">
        <v>54</v>
      </c>
      <c r="H188" s="12" t="s">
        <v>198</v>
      </c>
      <c r="I188" s="12" t="s">
        <v>1074</v>
      </c>
      <c r="J188" s="12" t="s">
        <v>1075</v>
      </c>
      <c r="K188" s="12" t="s">
        <v>1047</v>
      </c>
      <c r="L188" s="18" t="s">
        <v>209</v>
      </c>
      <c r="M188" s="18" t="s">
        <v>1076</v>
      </c>
      <c r="N188" s="12" t="s">
        <v>1077</v>
      </c>
    </row>
    <row r="189" spans="1:14" x14ac:dyDescent="0.35">
      <c r="A189" s="12" t="s">
        <v>1078</v>
      </c>
      <c r="B189" s="18" t="s">
        <v>1079</v>
      </c>
      <c r="C189" s="12" t="s">
        <v>122</v>
      </c>
      <c r="D189" s="12" t="s">
        <v>33</v>
      </c>
      <c r="E189" s="12"/>
      <c r="F189" s="12" t="s">
        <v>59</v>
      </c>
      <c r="G189" s="12" t="s">
        <v>60</v>
      </c>
      <c r="H189" s="12" t="s">
        <v>259</v>
      </c>
      <c r="I189" s="12" t="s">
        <v>1080</v>
      </c>
      <c r="J189" s="12" t="s">
        <v>1081</v>
      </c>
      <c r="K189" s="12" t="s">
        <v>1047</v>
      </c>
      <c r="L189" s="18" t="s">
        <v>209</v>
      </c>
      <c r="M189" s="18" t="s">
        <v>1082</v>
      </c>
      <c r="N189" s="12" t="s">
        <v>1083</v>
      </c>
    </row>
    <row r="190" spans="1:14" ht="28.5" x14ac:dyDescent="0.35">
      <c r="A190" s="12" t="s">
        <v>1084</v>
      </c>
      <c r="B190" s="18" t="s">
        <v>1085</v>
      </c>
      <c r="C190" s="12" t="s">
        <v>122</v>
      </c>
      <c r="D190" s="12" t="s">
        <v>38</v>
      </c>
      <c r="E190" s="12"/>
      <c r="F190" s="12" t="s">
        <v>55</v>
      </c>
      <c r="G190" s="12" t="s">
        <v>56</v>
      </c>
      <c r="H190" s="12" t="s">
        <v>239</v>
      </c>
      <c r="I190" s="12" t="s">
        <v>1086</v>
      </c>
      <c r="J190" s="12" t="s">
        <v>1087</v>
      </c>
      <c r="K190" s="12" t="s">
        <v>1047</v>
      </c>
      <c r="L190" s="18" t="s">
        <v>209</v>
      </c>
      <c r="M190" s="18" t="s">
        <v>1088</v>
      </c>
      <c r="N190" s="12" t="s">
        <v>1089</v>
      </c>
    </row>
    <row r="191" spans="1:14" ht="28.5" x14ac:dyDescent="0.35">
      <c r="A191" s="12" t="s">
        <v>1090</v>
      </c>
      <c r="B191" s="18" t="s">
        <v>1091</v>
      </c>
      <c r="C191" s="12" t="s">
        <v>122</v>
      </c>
      <c r="D191" s="12" t="s">
        <v>34</v>
      </c>
      <c r="E191" s="12"/>
      <c r="F191" s="12" t="s">
        <v>65</v>
      </c>
      <c r="G191" s="12" t="s">
        <v>66</v>
      </c>
      <c r="H191" s="12" t="s">
        <v>259</v>
      </c>
      <c r="I191" s="12" t="s">
        <v>1092</v>
      </c>
      <c r="J191" s="12" t="s">
        <v>1093</v>
      </c>
      <c r="K191" s="12" t="s">
        <v>1047</v>
      </c>
      <c r="L191" s="18" t="s">
        <v>202</v>
      </c>
      <c r="M191" s="18" t="s">
        <v>468</v>
      </c>
      <c r="N191" s="12" t="s">
        <v>204</v>
      </c>
    </row>
    <row r="192" spans="1:14" ht="28.5" x14ac:dyDescent="0.35">
      <c r="A192" s="12" t="s">
        <v>1094</v>
      </c>
      <c r="B192" s="18" t="s">
        <v>1095</v>
      </c>
      <c r="C192" s="12" t="s">
        <v>122</v>
      </c>
      <c r="D192" s="12" t="s">
        <v>33</v>
      </c>
      <c r="E192" s="12"/>
      <c r="F192" s="12" t="s">
        <v>55</v>
      </c>
      <c r="G192" s="12" t="s">
        <v>56</v>
      </c>
      <c r="H192" s="12" t="s">
        <v>239</v>
      </c>
      <c r="I192" s="12" t="s">
        <v>1051</v>
      </c>
      <c r="J192" s="12" t="s">
        <v>1052</v>
      </c>
      <c r="K192" s="12" t="s">
        <v>1047</v>
      </c>
      <c r="L192" s="18" t="s">
        <v>216</v>
      </c>
      <c r="M192" s="18" t="s">
        <v>1096</v>
      </c>
      <c r="N192" s="12" t="s">
        <v>1097</v>
      </c>
    </row>
    <row r="193" spans="1:14" x14ac:dyDescent="0.35">
      <c r="A193" s="12" t="s">
        <v>1098</v>
      </c>
      <c r="B193" s="18" t="s">
        <v>1099</v>
      </c>
      <c r="C193" s="12" t="s">
        <v>122</v>
      </c>
      <c r="D193" s="12" t="s">
        <v>33</v>
      </c>
      <c r="E193" s="12"/>
      <c r="F193" s="12" t="s">
        <v>67</v>
      </c>
      <c r="G193" s="12" t="s">
        <v>68</v>
      </c>
      <c r="H193" s="12" t="s">
        <v>259</v>
      </c>
      <c r="I193" s="12" t="s">
        <v>1100</v>
      </c>
      <c r="J193" s="12" t="s">
        <v>1101</v>
      </c>
      <c r="K193" s="12" t="s">
        <v>1047</v>
      </c>
      <c r="L193" s="18" t="s">
        <v>209</v>
      </c>
      <c r="M193" s="18" t="s">
        <v>1102</v>
      </c>
      <c r="N193" s="12" t="s">
        <v>1103</v>
      </c>
    </row>
    <row r="194" spans="1:14" x14ac:dyDescent="0.35">
      <c r="A194" s="12" t="s">
        <v>1104</v>
      </c>
      <c r="B194" s="18" t="s">
        <v>1105</v>
      </c>
      <c r="C194" s="12" t="s">
        <v>122</v>
      </c>
      <c r="D194" s="12" t="s">
        <v>33</v>
      </c>
      <c r="E194" s="12"/>
      <c r="F194" s="12" t="s">
        <v>57</v>
      </c>
      <c r="G194" s="12" t="s">
        <v>58</v>
      </c>
      <c r="H194" s="12" t="s">
        <v>259</v>
      </c>
      <c r="I194" s="12" t="s">
        <v>1106</v>
      </c>
      <c r="J194" s="12" t="s">
        <v>1107</v>
      </c>
      <c r="K194" s="12" t="s">
        <v>1047</v>
      </c>
      <c r="L194" s="18" t="s">
        <v>202</v>
      </c>
      <c r="M194" s="18" t="s">
        <v>414</v>
      </c>
      <c r="N194" s="12" t="s">
        <v>204</v>
      </c>
    </row>
    <row r="195" spans="1:14" x14ac:dyDescent="0.35">
      <c r="A195" s="12" t="s">
        <v>1108</v>
      </c>
      <c r="B195" s="18" t="s">
        <v>1109</v>
      </c>
      <c r="C195" s="12" t="s">
        <v>122</v>
      </c>
      <c r="D195" s="12" t="s">
        <v>33</v>
      </c>
      <c r="E195" s="12"/>
      <c r="F195" s="12" t="s">
        <v>53</v>
      </c>
      <c r="G195" s="12" t="s">
        <v>54</v>
      </c>
      <c r="H195" s="12" t="s">
        <v>198</v>
      </c>
      <c r="I195" s="12" t="s">
        <v>1110</v>
      </c>
      <c r="J195" s="12" t="s">
        <v>1111</v>
      </c>
      <c r="K195" s="12" t="s">
        <v>1047</v>
      </c>
      <c r="L195" s="18" t="s">
        <v>209</v>
      </c>
      <c r="M195" s="18" t="s">
        <v>1112</v>
      </c>
      <c r="N195" s="12" t="s">
        <v>1113</v>
      </c>
    </row>
    <row r="196" spans="1:14" x14ac:dyDescent="0.35">
      <c r="A196" s="12" t="s">
        <v>1114</v>
      </c>
      <c r="B196" s="18" t="s">
        <v>1115</v>
      </c>
      <c r="C196" s="12" t="s">
        <v>122</v>
      </c>
      <c r="D196" s="12" t="s">
        <v>33</v>
      </c>
      <c r="E196" s="12"/>
      <c r="F196" s="12" t="s">
        <v>55</v>
      </c>
      <c r="G196" s="12" t="s">
        <v>56</v>
      </c>
      <c r="H196" s="12" t="s">
        <v>259</v>
      </c>
      <c r="I196" s="12" t="s">
        <v>1116</v>
      </c>
      <c r="J196" s="12" t="s">
        <v>1117</v>
      </c>
      <c r="K196" s="12" t="s">
        <v>1047</v>
      </c>
      <c r="L196" s="18" t="s">
        <v>202</v>
      </c>
      <c r="M196" s="18" t="s">
        <v>371</v>
      </c>
      <c r="N196" s="12" t="s">
        <v>204</v>
      </c>
    </row>
    <row r="197" spans="1:14" ht="28.5" x14ac:dyDescent="0.35">
      <c r="A197" s="12" t="s">
        <v>1118</v>
      </c>
      <c r="B197" s="18" t="s">
        <v>1119</v>
      </c>
      <c r="C197" s="12" t="s">
        <v>122</v>
      </c>
      <c r="D197" s="12" t="s">
        <v>33</v>
      </c>
      <c r="E197" s="12"/>
      <c r="F197" s="12" t="s">
        <v>77</v>
      </c>
      <c r="G197" s="12" t="s">
        <v>78</v>
      </c>
      <c r="H197" s="12" t="s">
        <v>198</v>
      </c>
      <c r="I197" s="12" t="s">
        <v>1120</v>
      </c>
      <c r="J197" s="12" t="s">
        <v>1121</v>
      </c>
      <c r="K197" s="12" t="s">
        <v>1122</v>
      </c>
      <c r="L197" s="18" t="s">
        <v>202</v>
      </c>
      <c r="M197" s="18" t="s">
        <v>1123</v>
      </c>
      <c r="N197" s="12" t="s">
        <v>204</v>
      </c>
    </row>
    <row r="198" spans="1:14" ht="42.5" x14ac:dyDescent="0.35">
      <c r="A198" s="12" t="s">
        <v>1124</v>
      </c>
      <c r="B198" s="18" t="s">
        <v>1125</v>
      </c>
      <c r="C198" s="12" t="s">
        <v>122</v>
      </c>
      <c r="D198" s="12" t="s">
        <v>34</v>
      </c>
      <c r="E198" s="12"/>
      <c r="F198" s="12" t="s">
        <v>63</v>
      </c>
      <c r="G198" s="12" t="s">
        <v>64</v>
      </c>
      <c r="H198" s="12" t="s">
        <v>259</v>
      </c>
      <c r="I198" s="12" t="s">
        <v>1126</v>
      </c>
      <c r="J198" s="12" t="s">
        <v>1127</v>
      </c>
      <c r="K198" s="12" t="s">
        <v>1122</v>
      </c>
      <c r="L198" s="18" t="s">
        <v>202</v>
      </c>
      <c r="M198" s="18" t="s">
        <v>1128</v>
      </c>
      <c r="N198" s="12" t="s">
        <v>204</v>
      </c>
    </row>
    <row r="199" spans="1:14" x14ac:dyDescent="0.35">
      <c r="A199" s="12" t="s">
        <v>1129</v>
      </c>
      <c r="B199" s="18" t="s">
        <v>1130</v>
      </c>
      <c r="C199" s="12" t="s">
        <v>122</v>
      </c>
      <c r="D199" s="12" t="s">
        <v>33</v>
      </c>
      <c r="E199" s="12"/>
      <c r="F199" s="12" t="s">
        <v>55</v>
      </c>
      <c r="G199" s="12" t="s">
        <v>56</v>
      </c>
      <c r="H199" s="12" t="s">
        <v>198</v>
      </c>
      <c r="I199" s="12" t="s">
        <v>1131</v>
      </c>
      <c r="J199" s="12" t="s">
        <v>1132</v>
      </c>
      <c r="K199" s="12" t="s">
        <v>1122</v>
      </c>
      <c r="L199" s="18" t="s">
        <v>202</v>
      </c>
      <c r="M199" s="18" t="s">
        <v>371</v>
      </c>
      <c r="N199" s="12" t="s">
        <v>204</v>
      </c>
    </row>
    <row r="200" spans="1:14" ht="28.5" x14ac:dyDescent="0.35">
      <c r="A200" s="12" t="s">
        <v>1133</v>
      </c>
      <c r="B200" s="18" t="s">
        <v>1134</v>
      </c>
      <c r="C200" s="12" t="s">
        <v>122</v>
      </c>
      <c r="D200" s="12" t="s">
        <v>33</v>
      </c>
      <c r="E200" s="12"/>
      <c r="F200" s="12" t="s">
        <v>53</v>
      </c>
      <c r="G200" s="12" t="s">
        <v>54</v>
      </c>
      <c r="H200" s="12" t="s">
        <v>198</v>
      </c>
      <c r="I200" s="12" t="s">
        <v>1135</v>
      </c>
      <c r="J200" s="12" t="s">
        <v>1136</v>
      </c>
      <c r="K200" s="12" t="s">
        <v>1122</v>
      </c>
      <c r="L200" s="18" t="s">
        <v>202</v>
      </c>
      <c r="M200" s="18" t="s">
        <v>229</v>
      </c>
      <c r="N200" s="12" t="s">
        <v>204</v>
      </c>
    </row>
    <row r="201" spans="1:14" x14ac:dyDescent="0.35">
      <c r="A201" s="12" t="s">
        <v>1137</v>
      </c>
      <c r="B201" s="18" t="s">
        <v>1138</v>
      </c>
      <c r="C201" s="12" t="s">
        <v>122</v>
      </c>
      <c r="D201" s="12" t="s">
        <v>34</v>
      </c>
      <c r="E201" s="12"/>
      <c r="F201" s="12" t="s">
        <v>63</v>
      </c>
      <c r="G201" s="12" t="s">
        <v>64</v>
      </c>
      <c r="H201" s="12" t="s">
        <v>259</v>
      </c>
      <c r="I201" s="12" t="s">
        <v>1120</v>
      </c>
      <c r="J201" s="12" t="s">
        <v>1121</v>
      </c>
      <c r="K201" s="12" t="s">
        <v>1122</v>
      </c>
      <c r="L201" s="18" t="s">
        <v>216</v>
      </c>
      <c r="M201" s="18" t="s">
        <v>1139</v>
      </c>
      <c r="N201" s="12" t="s">
        <v>1140</v>
      </c>
    </row>
    <row r="202" spans="1:14" x14ac:dyDescent="0.35">
      <c r="A202" s="12" t="s">
        <v>1141</v>
      </c>
      <c r="B202" s="18" t="s">
        <v>1142</v>
      </c>
      <c r="C202" s="12" t="s">
        <v>122</v>
      </c>
      <c r="D202" s="12" t="s">
        <v>33</v>
      </c>
      <c r="E202" s="12"/>
      <c r="F202" s="12" t="s">
        <v>53</v>
      </c>
      <c r="G202" s="12" t="s">
        <v>54</v>
      </c>
      <c r="H202" s="12" t="s">
        <v>259</v>
      </c>
      <c r="I202" s="12" t="s">
        <v>1143</v>
      </c>
      <c r="J202" s="12" t="s">
        <v>1144</v>
      </c>
      <c r="K202" s="12" t="s">
        <v>1122</v>
      </c>
      <c r="L202" s="18" t="s">
        <v>209</v>
      </c>
      <c r="M202" s="18" t="s">
        <v>1145</v>
      </c>
      <c r="N202" s="12" t="s">
        <v>1146</v>
      </c>
    </row>
    <row r="203" spans="1:14" ht="28.5" x14ac:dyDescent="0.35">
      <c r="A203" s="12" t="s">
        <v>1147</v>
      </c>
      <c r="B203" s="18" t="s">
        <v>1148</v>
      </c>
      <c r="C203" s="12" t="s">
        <v>122</v>
      </c>
      <c r="D203" s="12" t="s">
        <v>33</v>
      </c>
      <c r="E203" s="12"/>
      <c r="F203" s="12" t="s">
        <v>65</v>
      </c>
      <c r="G203" s="12" t="s">
        <v>66</v>
      </c>
      <c r="H203" s="12" t="s">
        <v>239</v>
      </c>
      <c r="I203" s="12" t="s">
        <v>1126</v>
      </c>
      <c r="J203" s="12" t="s">
        <v>1127</v>
      </c>
      <c r="K203" s="12" t="s">
        <v>1122</v>
      </c>
      <c r="L203" s="18" t="s">
        <v>209</v>
      </c>
      <c r="M203" s="18" t="s">
        <v>1149</v>
      </c>
      <c r="N203" s="12" t="s">
        <v>1150</v>
      </c>
    </row>
    <row r="204" spans="1:14" ht="28.5" x14ac:dyDescent="0.35">
      <c r="A204" s="12" t="s">
        <v>1151</v>
      </c>
      <c r="B204" s="18" t="s">
        <v>1152</v>
      </c>
      <c r="C204" s="12" t="s">
        <v>122</v>
      </c>
      <c r="D204" s="12" t="s">
        <v>33</v>
      </c>
      <c r="E204" s="12"/>
      <c r="F204" s="12" t="s">
        <v>53</v>
      </c>
      <c r="G204" s="12" t="s">
        <v>54</v>
      </c>
      <c r="H204" s="12" t="s">
        <v>198</v>
      </c>
      <c r="I204" s="12" t="s">
        <v>1153</v>
      </c>
      <c r="J204" s="12" t="s">
        <v>1154</v>
      </c>
      <c r="K204" s="12" t="s">
        <v>1122</v>
      </c>
      <c r="L204" s="18" t="s">
        <v>216</v>
      </c>
      <c r="M204" s="18" t="s">
        <v>1155</v>
      </c>
      <c r="N204" s="12" t="s">
        <v>1156</v>
      </c>
    </row>
    <row r="205" spans="1:14" x14ac:dyDescent="0.35">
      <c r="A205" s="12" t="s">
        <v>1157</v>
      </c>
      <c r="B205" s="18" t="s">
        <v>1158</v>
      </c>
      <c r="C205" s="12" t="s">
        <v>122</v>
      </c>
      <c r="D205" s="12" t="s">
        <v>33</v>
      </c>
      <c r="E205" s="12"/>
      <c r="F205" s="12" t="s">
        <v>55</v>
      </c>
      <c r="G205" s="12" t="s">
        <v>56</v>
      </c>
      <c r="H205" s="12" t="s">
        <v>239</v>
      </c>
      <c r="I205" s="12" t="s">
        <v>1159</v>
      </c>
      <c r="J205" s="12" t="s">
        <v>1160</v>
      </c>
      <c r="K205" s="12" t="s">
        <v>1122</v>
      </c>
      <c r="L205" s="18" t="s">
        <v>202</v>
      </c>
      <c r="M205" s="18" t="s">
        <v>371</v>
      </c>
      <c r="N205" s="12" t="s">
        <v>204</v>
      </c>
    </row>
    <row r="206" spans="1:14" ht="28.5" x14ac:dyDescent="0.35">
      <c r="A206" s="12" t="s">
        <v>1161</v>
      </c>
      <c r="B206" s="18" t="s">
        <v>1162</v>
      </c>
      <c r="C206" s="12" t="s">
        <v>122</v>
      </c>
      <c r="D206" s="12" t="s">
        <v>33</v>
      </c>
      <c r="E206" s="12"/>
      <c r="F206" s="12" t="s">
        <v>63</v>
      </c>
      <c r="G206" s="12" t="s">
        <v>64</v>
      </c>
      <c r="H206" s="12" t="s">
        <v>198</v>
      </c>
      <c r="I206" s="12" t="s">
        <v>1163</v>
      </c>
      <c r="J206" s="12" t="s">
        <v>1164</v>
      </c>
      <c r="K206" s="12" t="s">
        <v>1165</v>
      </c>
      <c r="L206" s="18" t="s">
        <v>202</v>
      </c>
      <c r="M206" s="18" t="s">
        <v>930</v>
      </c>
      <c r="N206" s="12" t="s">
        <v>204</v>
      </c>
    </row>
    <row r="207" spans="1:14" ht="42.5" x14ac:dyDescent="0.35">
      <c r="A207" s="12" t="s">
        <v>1166</v>
      </c>
      <c r="B207" s="18" t="s">
        <v>1167</v>
      </c>
      <c r="C207" s="12" t="s">
        <v>122</v>
      </c>
      <c r="D207" s="12" t="s">
        <v>33</v>
      </c>
      <c r="E207" s="12"/>
      <c r="F207" s="12" t="s">
        <v>53</v>
      </c>
      <c r="G207" s="12" t="s">
        <v>54</v>
      </c>
      <c r="H207" s="12" t="s">
        <v>198</v>
      </c>
      <c r="I207" s="12" t="s">
        <v>1168</v>
      </c>
      <c r="J207" s="12" t="s">
        <v>1169</v>
      </c>
      <c r="K207" s="12" t="s">
        <v>1165</v>
      </c>
      <c r="L207" s="18" t="s">
        <v>202</v>
      </c>
      <c r="M207" s="18" t="s">
        <v>229</v>
      </c>
      <c r="N207" s="12" t="s">
        <v>204</v>
      </c>
    </row>
    <row r="208" spans="1:14" x14ac:dyDescent="0.35">
      <c r="A208" s="12" t="s">
        <v>1170</v>
      </c>
      <c r="B208" s="18" t="s">
        <v>1171</v>
      </c>
      <c r="C208" s="12" t="s">
        <v>122</v>
      </c>
      <c r="D208" s="12" t="s">
        <v>33</v>
      </c>
      <c r="E208" s="12"/>
      <c r="F208" s="12" t="s">
        <v>63</v>
      </c>
      <c r="G208" s="12" t="s">
        <v>64</v>
      </c>
      <c r="H208" s="12" t="s">
        <v>198</v>
      </c>
      <c r="I208" s="12" t="s">
        <v>1172</v>
      </c>
      <c r="J208" s="12" t="s">
        <v>1173</v>
      </c>
      <c r="K208" s="12" t="s">
        <v>1174</v>
      </c>
      <c r="L208" s="18" t="s">
        <v>209</v>
      </c>
      <c r="M208" s="18" t="s">
        <v>1175</v>
      </c>
      <c r="N208" s="12" t="s">
        <v>1176</v>
      </c>
    </row>
    <row r="209" spans="1:14" x14ac:dyDescent="0.35">
      <c r="A209" s="12" t="s">
        <v>1177</v>
      </c>
      <c r="B209" s="18" t="s">
        <v>1178</v>
      </c>
      <c r="C209" s="12" t="s">
        <v>122</v>
      </c>
      <c r="D209" s="12" t="s">
        <v>33</v>
      </c>
      <c r="E209" s="12"/>
      <c r="F209" s="12" t="s">
        <v>59</v>
      </c>
      <c r="G209" s="12" t="s">
        <v>60</v>
      </c>
      <c r="H209" s="12" t="s">
        <v>259</v>
      </c>
      <c r="I209" s="12" t="s">
        <v>1172</v>
      </c>
      <c r="J209" s="12" t="s">
        <v>1173</v>
      </c>
      <c r="K209" s="12" t="s">
        <v>1174</v>
      </c>
      <c r="L209" s="18" t="s">
        <v>202</v>
      </c>
      <c r="M209" s="18" t="s">
        <v>313</v>
      </c>
      <c r="N209" s="12" t="s">
        <v>204</v>
      </c>
    </row>
    <row r="210" spans="1:14" x14ac:dyDescent="0.35">
      <c r="A210" s="12" t="s">
        <v>1179</v>
      </c>
      <c r="B210" s="18" t="s">
        <v>1180</v>
      </c>
      <c r="C210" s="12" t="s">
        <v>122</v>
      </c>
      <c r="D210" s="12" t="s">
        <v>33</v>
      </c>
      <c r="E210" s="12"/>
      <c r="F210" s="12" t="s">
        <v>59</v>
      </c>
      <c r="G210" s="12" t="s">
        <v>60</v>
      </c>
      <c r="H210" s="12" t="s">
        <v>198</v>
      </c>
      <c r="I210" s="12" t="s">
        <v>1181</v>
      </c>
      <c r="J210" s="12" t="s">
        <v>1173</v>
      </c>
      <c r="K210" s="12" t="s">
        <v>1174</v>
      </c>
      <c r="L210" s="18" t="s">
        <v>202</v>
      </c>
      <c r="M210" s="18" t="s">
        <v>313</v>
      </c>
      <c r="N210" s="12" t="s">
        <v>204</v>
      </c>
    </row>
    <row r="211" spans="1:14" x14ac:dyDescent="0.35">
      <c r="A211" s="12" t="s">
        <v>1182</v>
      </c>
      <c r="B211" s="18" t="s">
        <v>1183</v>
      </c>
      <c r="C211" s="12" t="s">
        <v>122</v>
      </c>
      <c r="D211" s="12" t="s">
        <v>33</v>
      </c>
      <c r="E211" s="12"/>
      <c r="F211" s="12" t="s">
        <v>59</v>
      </c>
      <c r="G211" s="12" t="s">
        <v>60</v>
      </c>
      <c r="H211" s="12" t="s">
        <v>259</v>
      </c>
      <c r="I211" s="12" t="s">
        <v>1172</v>
      </c>
      <c r="J211" s="12" t="s">
        <v>1173</v>
      </c>
      <c r="K211" s="12" t="s">
        <v>1174</v>
      </c>
      <c r="L211" s="18" t="s">
        <v>202</v>
      </c>
      <c r="M211" s="18" t="s">
        <v>313</v>
      </c>
      <c r="N211" s="12" t="s">
        <v>204</v>
      </c>
    </row>
    <row r="212" spans="1:14" ht="42.5" x14ac:dyDescent="0.35">
      <c r="A212" s="18" t="s">
        <v>2690</v>
      </c>
      <c r="B212" s="18" t="s">
        <v>2691</v>
      </c>
      <c r="C212" s="12" t="s">
        <v>122</v>
      </c>
      <c r="D212" s="18" t="s">
        <v>34</v>
      </c>
      <c r="E212" s="18"/>
      <c r="F212" s="12" t="s">
        <v>65</v>
      </c>
      <c r="G212" s="12" t="s">
        <v>66</v>
      </c>
      <c r="H212" s="12" t="s">
        <v>259</v>
      </c>
      <c r="I212" s="12" t="s">
        <v>1199</v>
      </c>
      <c r="J212" s="12" t="s">
        <v>1200</v>
      </c>
      <c r="K212" s="12" t="s">
        <v>1188</v>
      </c>
      <c r="L212" s="12" t="s">
        <v>216</v>
      </c>
      <c r="M212" s="18" t="s">
        <v>4718</v>
      </c>
      <c r="N212" s="18" t="s">
        <v>4719</v>
      </c>
    </row>
    <row r="213" spans="1:14" x14ac:dyDescent="0.35">
      <c r="A213" s="12" t="s">
        <v>1184</v>
      </c>
      <c r="B213" s="18" t="s">
        <v>1185</v>
      </c>
      <c r="C213" s="12" t="s">
        <v>122</v>
      </c>
      <c r="D213" s="12" t="s">
        <v>33</v>
      </c>
      <c r="E213" s="12"/>
      <c r="F213" s="12" t="s">
        <v>53</v>
      </c>
      <c r="G213" s="12" t="s">
        <v>54</v>
      </c>
      <c r="H213" s="12" t="s">
        <v>198</v>
      </c>
      <c r="I213" s="12" t="s">
        <v>1186</v>
      </c>
      <c r="J213" s="12" t="s">
        <v>1187</v>
      </c>
      <c r="K213" s="12" t="s">
        <v>1188</v>
      </c>
      <c r="L213" s="18" t="s">
        <v>202</v>
      </c>
      <c r="M213" s="18" t="s">
        <v>229</v>
      </c>
      <c r="N213" s="12" t="s">
        <v>204</v>
      </c>
    </row>
    <row r="214" spans="1:14" x14ac:dyDescent="0.35">
      <c r="A214" s="12" t="s">
        <v>1189</v>
      </c>
      <c r="B214" s="18" t="s">
        <v>1190</v>
      </c>
      <c r="C214" s="12" t="s">
        <v>122</v>
      </c>
      <c r="D214" s="12" t="s">
        <v>33</v>
      </c>
      <c r="E214" s="12"/>
      <c r="F214" s="12" t="s">
        <v>57</v>
      </c>
      <c r="G214" s="12" t="s">
        <v>58</v>
      </c>
      <c r="H214" s="12" t="s">
        <v>259</v>
      </c>
      <c r="I214" s="12" t="s">
        <v>1191</v>
      </c>
      <c r="J214" s="12" t="s">
        <v>1192</v>
      </c>
      <c r="K214" s="12" t="s">
        <v>1188</v>
      </c>
      <c r="L214" s="18" t="s">
        <v>202</v>
      </c>
      <c r="M214" s="18" t="s">
        <v>414</v>
      </c>
      <c r="N214" s="12" t="s">
        <v>204</v>
      </c>
    </row>
    <row r="215" spans="1:14" ht="42.5" x14ac:dyDescent="0.35">
      <c r="A215" s="18" t="s">
        <v>2692</v>
      </c>
      <c r="B215" s="18" t="s">
        <v>2693</v>
      </c>
      <c r="C215" s="12" t="s">
        <v>122</v>
      </c>
      <c r="D215" s="18" t="s">
        <v>34</v>
      </c>
      <c r="E215" s="18"/>
      <c r="F215" s="12" t="s">
        <v>65</v>
      </c>
      <c r="G215" s="12" t="s">
        <v>66</v>
      </c>
      <c r="H215" s="12" t="s">
        <v>198</v>
      </c>
      <c r="I215" s="12" t="s">
        <v>2694</v>
      </c>
      <c r="J215" s="12" t="s">
        <v>1187</v>
      </c>
      <c r="K215" s="12" t="s">
        <v>1188</v>
      </c>
      <c r="L215" s="12" t="s">
        <v>216</v>
      </c>
      <c r="M215" s="18" t="s">
        <v>4720</v>
      </c>
      <c r="N215" s="18" t="s">
        <v>4721</v>
      </c>
    </row>
    <row r="216" spans="1:14" ht="28.5" x14ac:dyDescent="0.35">
      <c r="A216" s="12" t="s">
        <v>1193</v>
      </c>
      <c r="B216" s="18" t="s">
        <v>1194</v>
      </c>
      <c r="C216" s="12" t="s">
        <v>122</v>
      </c>
      <c r="D216" s="12" t="s">
        <v>33</v>
      </c>
      <c r="E216" s="12"/>
      <c r="F216" s="12" t="s">
        <v>55</v>
      </c>
      <c r="G216" s="12" t="s">
        <v>56</v>
      </c>
      <c r="H216" s="12" t="s">
        <v>259</v>
      </c>
      <c r="I216" s="12" t="s">
        <v>1195</v>
      </c>
      <c r="J216" s="12" t="s">
        <v>1196</v>
      </c>
      <c r="K216" s="12" t="s">
        <v>1188</v>
      </c>
      <c r="L216" s="18" t="s">
        <v>202</v>
      </c>
      <c r="M216" s="18" t="s">
        <v>371</v>
      </c>
      <c r="N216" s="12" t="s">
        <v>204</v>
      </c>
    </row>
    <row r="217" spans="1:14" ht="28.5" x14ac:dyDescent="0.35">
      <c r="A217" s="12" t="s">
        <v>1197</v>
      </c>
      <c r="B217" s="18" t="s">
        <v>1198</v>
      </c>
      <c r="C217" s="12" t="s">
        <v>122</v>
      </c>
      <c r="D217" s="12" t="s">
        <v>33</v>
      </c>
      <c r="E217" s="12"/>
      <c r="F217" s="12" t="s">
        <v>55</v>
      </c>
      <c r="G217" s="12" t="s">
        <v>56</v>
      </c>
      <c r="H217" s="12" t="s">
        <v>239</v>
      </c>
      <c r="I217" s="12" t="s">
        <v>1199</v>
      </c>
      <c r="J217" s="12" t="s">
        <v>1200</v>
      </c>
      <c r="K217" s="12" t="s">
        <v>1188</v>
      </c>
      <c r="L217" s="18" t="s">
        <v>202</v>
      </c>
      <c r="M217" s="18" t="s">
        <v>1201</v>
      </c>
      <c r="N217" s="12" t="s">
        <v>204</v>
      </c>
    </row>
    <row r="218" spans="1:14" ht="28.5" x14ac:dyDescent="0.35">
      <c r="A218" s="18" t="s">
        <v>2927</v>
      </c>
      <c r="B218" s="18" t="s">
        <v>2928</v>
      </c>
      <c r="C218" s="12" t="s">
        <v>122</v>
      </c>
      <c r="D218" s="18" t="s">
        <v>38</v>
      </c>
      <c r="E218" s="18"/>
      <c r="F218" s="12" t="s">
        <v>79</v>
      </c>
      <c r="G218" s="12" t="s">
        <v>80</v>
      </c>
      <c r="H218" s="12" t="s">
        <v>239</v>
      </c>
      <c r="I218" s="12" t="s">
        <v>2929</v>
      </c>
      <c r="J218" s="12" t="s">
        <v>2930</v>
      </c>
      <c r="K218" s="12" t="s">
        <v>1188</v>
      </c>
      <c r="L218" s="12" t="s">
        <v>4722</v>
      </c>
      <c r="M218" s="18" t="s">
        <v>4723</v>
      </c>
      <c r="N218" s="18" t="s">
        <v>4724</v>
      </c>
    </row>
    <row r="219" spans="1:14" x14ac:dyDescent="0.35">
      <c r="A219" s="12" t="s">
        <v>1202</v>
      </c>
      <c r="B219" s="18" t="s">
        <v>1203</v>
      </c>
      <c r="C219" s="12" t="s">
        <v>122</v>
      </c>
      <c r="D219" s="12" t="s">
        <v>33</v>
      </c>
      <c r="E219" s="12"/>
      <c r="F219" s="12" t="s">
        <v>57</v>
      </c>
      <c r="G219" s="12" t="s">
        <v>58</v>
      </c>
      <c r="H219" s="12" t="s">
        <v>198</v>
      </c>
      <c r="I219" s="12" t="s">
        <v>1204</v>
      </c>
      <c r="J219" s="12" t="s">
        <v>1205</v>
      </c>
      <c r="K219" s="12" t="s">
        <v>1188</v>
      </c>
      <c r="L219" s="18" t="s">
        <v>202</v>
      </c>
      <c r="M219" s="18" t="s">
        <v>414</v>
      </c>
      <c r="N219" s="12" t="s">
        <v>204</v>
      </c>
    </row>
    <row r="220" spans="1:14" x14ac:dyDescent="0.35">
      <c r="A220" s="12" t="s">
        <v>1206</v>
      </c>
      <c r="B220" s="18" t="s">
        <v>1207</v>
      </c>
      <c r="C220" s="12" t="s">
        <v>122</v>
      </c>
      <c r="D220" s="12" t="s">
        <v>38</v>
      </c>
      <c r="E220" s="12"/>
      <c r="F220" s="12" t="s">
        <v>65</v>
      </c>
      <c r="G220" s="12" t="s">
        <v>66</v>
      </c>
      <c r="H220" s="12" t="s">
        <v>259</v>
      </c>
      <c r="I220" s="12" t="s">
        <v>1208</v>
      </c>
      <c r="J220" s="12" t="s">
        <v>1209</v>
      </c>
      <c r="K220" s="12" t="s">
        <v>1210</v>
      </c>
      <c r="L220" s="18" t="s">
        <v>209</v>
      </c>
      <c r="M220" s="18" t="s">
        <v>1211</v>
      </c>
      <c r="N220" s="12" t="s">
        <v>1212</v>
      </c>
    </row>
    <row r="221" spans="1:14" x14ac:dyDescent="0.35">
      <c r="A221" s="12" t="s">
        <v>1213</v>
      </c>
      <c r="B221" s="18" t="s">
        <v>1214</v>
      </c>
      <c r="C221" s="12" t="s">
        <v>122</v>
      </c>
      <c r="D221" s="12" t="s">
        <v>33</v>
      </c>
      <c r="E221" s="12"/>
      <c r="F221" s="12" t="s">
        <v>79</v>
      </c>
      <c r="G221" s="12" t="s">
        <v>80</v>
      </c>
      <c r="H221" s="12" t="s">
        <v>198</v>
      </c>
      <c r="I221" s="12" t="s">
        <v>1215</v>
      </c>
      <c r="J221" s="12" t="s">
        <v>1216</v>
      </c>
      <c r="K221" s="12" t="s">
        <v>1210</v>
      </c>
      <c r="L221" s="18" t="s">
        <v>202</v>
      </c>
      <c r="M221" s="18" t="s">
        <v>1217</v>
      </c>
      <c r="N221" s="12" t="s">
        <v>204</v>
      </c>
    </row>
    <row r="222" spans="1:14" x14ac:dyDescent="0.35">
      <c r="A222" s="12" t="s">
        <v>1218</v>
      </c>
      <c r="B222" s="18" t="s">
        <v>1219</v>
      </c>
      <c r="C222" s="12" t="s">
        <v>122</v>
      </c>
      <c r="D222" s="12" t="s">
        <v>33</v>
      </c>
      <c r="E222" s="12"/>
      <c r="F222" s="12" t="s">
        <v>89</v>
      </c>
      <c r="G222" s="12" t="s">
        <v>90</v>
      </c>
      <c r="H222" s="12" t="s">
        <v>239</v>
      </c>
      <c r="I222" s="12" t="s">
        <v>1220</v>
      </c>
      <c r="J222" s="12" t="s">
        <v>1221</v>
      </c>
      <c r="K222" s="12" t="s">
        <v>1222</v>
      </c>
      <c r="L222" s="18" t="s">
        <v>202</v>
      </c>
      <c r="M222" s="18" t="s">
        <v>1223</v>
      </c>
      <c r="N222" s="12" t="s">
        <v>204</v>
      </c>
    </row>
    <row r="223" spans="1:14" ht="28.5" x14ac:dyDescent="0.35">
      <c r="A223" s="12" t="s">
        <v>1224</v>
      </c>
      <c r="B223" s="18" t="s">
        <v>1225</v>
      </c>
      <c r="C223" s="12" t="s">
        <v>122</v>
      </c>
      <c r="D223" s="12" t="s">
        <v>33</v>
      </c>
      <c r="E223" s="12"/>
      <c r="F223" s="12" t="s">
        <v>59</v>
      </c>
      <c r="G223" s="12" t="s">
        <v>60</v>
      </c>
      <c r="H223" s="12" t="s">
        <v>259</v>
      </c>
      <c r="I223" s="12" t="s">
        <v>1226</v>
      </c>
      <c r="J223" s="12" t="s">
        <v>1227</v>
      </c>
      <c r="K223" s="12" t="s">
        <v>1222</v>
      </c>
      <c r="L223" s="18" t="s">
        <v>209</v>
      </c>
      <c r="M223" s="18" t="s">
        <v>1228</v>
      </c>
      <c r="N223" s="12" t="s">
        <v>1229</v>
      </c>
    </row>
    <row r="224" spans="1:14" x14ac:dyDescent="0.35">
      <c r="A224" s="12" t="s">
        <v>1230</v>
      </c>
      <c r="B224" s="18" t="s">
        <v>1231</v>
      </c>
      <c r="C224" s="12" t="s">
        <v>122</v>
      </c>
      <c r="D224" s="12" t="s">
        <v>33</v>
      </c>
      <c r="E224" s="12"/>
      <c r="F224" s="12" t="s">
        <v>55</v>
      </c>
      <c r="G224" s="12" t="s">
        <v>56</v>
      </c>
      <c r="H224" s="12" t="s">
        <v>198</v>
      </c>
      <c r="I224" s="12" t="s">
        <v>1232</v>
      </c>
      <c r="J224" s="12" t="s">
        <v>1233</v>
      </c>
      <c r="K224" s="12" t="s">
        <v>1222</v>
      </c>
      <c r="L224" s="18" t="s">
        <v>202</v>
      </c>
      <c r="M224" s="18" t="s">
        <v>371</v>
      </c>
      <c r="N224" s="12" t="s">
        <v>204</v>
      </c>
    </row>
    <row r="225" spans="1:14" x14ac:dyDescent="0.35">
      <c r="A225" s="12" t="s">
        <v>1234</v>
      </c>
      <c r="B225" s="18" t="s">
        <v>1235</v>
      </c>
      <c r="C225" s="12" t="s">
        <v>122</v>
      </c>
      <c r="D225" s="12" t="s">
        <v>33</v>
      </c>
      <c r="E225" s="12"/>
      <c r="F225" s="12" t="s">
        <v>57</v>
      </c>
      <c r="G225" s="12" t="s">
        <v>58</v>
      </c>
      <c r="H225" s="12" t="s">
        <v>259</v>
      </c>
      <c r="I225" s="12" t="s">
        <v>1236</v>
      </c>
      <c r="J225" s="12" t="s">
        <v>1237</v>
      </c>
      <c r="K225" s="12" t="s">
        <v>1222</v>
      </c>
      <c r="L225" s="18" t="s">
        <v>202</v>
      </c>
      <c r="M225" s="18" t="s">
        <v>414</v>
      </c>
      <c r="N225" s="12" t="s">
        <v>204</v>
      </c>
    </row>
    <row r="226" spans="1:14" x14ac:dyDescent="0.35">
      <c r="A226" s="12" t="s">
        <v>1238</v>
      </c>
      <c r="B226" s="18" t="s">
        <v>1239</v>
      </c>
      <c r="C226" s="12" t="s">
        <v>122</v>
      </c>
      <c r="D226" s="12" t="s">
        <v>33</v>
      </c>
      <c r="E226" s="12"/>
      <c r="F226" s="12" t="s">
        <v>53</v>
      </c>
      <c r="G226" s="12" t="s">
        <v>54</v>
      </c>
      <c r="H226" s="12" t="s">
        <v>198</v>
      </c>
      <c r="I226" s="12" t="s">
        <v>1240</v>
      </c>
      <c r="J226" s="12" t="s">
        <v>1241</v>
      </c>
      <c r="K226" s="12" t="s">
        <v>1222</v>
      </c>
      <c r="L226" s="18" t="s">
        <v>209</v>
      </c>
      <c r="M226" s="18" t="s">
        <v>1242</v>
      </c>
      <c r="N226" s="12" t="s">
        <v>1243</v>
      </c>
    </row>
    <row r="227" spans="1:14" ht="70.5" x14ac:dyDescent="0.35">
      <c r="A227" s="12" t="s">
        <v>1244</v>
      </c>
      <c r="B227" s="18" t="s">
        <v>1245</v>
      </c>
      <c r="C227" s="12" t="s">
        <v>122</v>
      </c>
      <c r="D227" s="12" t="s">
        <v>33</v>
      </c>
      <c r="E227" s="12"/>
      <c r="F227" s="12" t="s">
        <v>69</v>
      </c>
      <c r="G227" s="12" t="s">
        <v>70</v>
      </c>
      <c r="H227" s="12" t="s">
        <v>239</v>
      </c>
      <c r="I227" s="12" t="s">
        <v>1246</v>
      </c>
      <c r="J227" s="12" t="s">
        <v>1247</v>
      </c>
      <c r="K227" s="12" t="s">
        <v>1222</v>
      </c>
      <c r="L227" s="18" t="s">
        <v>202</v>
      </c>
      <c r="M227" s="18" t="s">
        <v>1248</v>
      </c>
      <c r="N227" s="12" t="s">
        <v>204</v>
      </c>
    </row>
    <row r="228" spans="1:14" x14ac:dyDescent="0.35">
      <c r="A228" s="12" t="s">
        <v>1249</v>
      </c>
      <c r="B228" s="18" t="s">
        <v>1250</v>
      </c>
      <c r="C228" s="12" t="s">
        <v>122</v>
      </c>
      <c r="D228" s="12" t="s">
        <v>33</v>
      </c>
      <c r="E228" s="12"/>
      <c r="F228" s="12" t="s">
        <v>53</v>
      </c>
      <c r="G228" s="12" t="s">
        <v>54</v>
      </c>
      <c r="H228" s="12" t="s">
        <v>198</v>
      </c>
      <c r="I228" s="12" t="s">
        <v>1251</v>
      </c>
      <c r="J228" s="12" t="s">
        <v>1252</v>
      </c>
      <c r="K228" s="12" t="s">
        <v>1222</v>
      </c>
      <c r="L228" s="18" t="s">
        <v>209</v>
      </c>
      <c r="M228" s="18" t="s">
        <v>1253</v>
      </c>
      <c r="N228" s="12" t="s">
        <v>1254</v>
      </c>
    </row>
    <row r="229" spans="1:14" ht="42.5" x14ac:dyDescent="0.35">
      <c r="A229" s="12" t="s">
        <v>1255</v>
      </c>
      <c r="B229" s="18" t="s">
        <v>1256</v>
      </c>
      <c r="C229" s="12" t="s">
        <v>122</v>
      </c>
      <c r="D229" s="12" t="s">
        <v>33</v>
      </c>
      <c r="E229" s="12"/>
      <c r="F229" s="12" t="s">
        <v>53</v>
      </c>
      <c r="G229" s="12" t="s">
        <v>54</v>
      </c>
      <c r="H229" s="12" t="s">
        <v>198</v>
      </c>
      <c r="I229" s="12" t="s">
        <v>1257</v>
      </c>
      <c r="J229" s="12" t="s">
        <v>1258</v>
      </c>
      <c r="K229" s="12" t="s">
        <v>1222</v>
      </c>
      <c r="L229" s="18" t="s">
        <v>202</v>
      </c>
      <c r="M229" s="18" t="s">
        <v>1259</v>
      </c>
      <c r="N229" s="12" t="s">
        <v>204</v>
      </c>
    </row>
    <row r="230" spans="1:14" x14ac:dyDescent="0.35">
      <c r="A230" s="12" t="s">
        <v>1260</v>
      </c>
      <c r="B230" s="18" t="s">
        <v>1261</v>
      </c>
      <c r="C230" s="12" t="s">
        <v>122</v>
      </c>
      <c r="D230" s="12" t="s">
        <v>33</v>
      </c>
      <c r="E230" s="12"/>
      <c r="F230" s="12" t="s">
        <v>53</v>
      </c>
      <c r="G230" s="12" t="s">
        <v>54</v>
      </c>
      <c r="H230" s="12" t="s">
        <v>198</v>
      </c>
      <c r="I230" s="12" t="s">
        <v>1262</v>
      </c>
      <c r="J230" s="12" t="s">
        <v>1263</v>
      </c>
      <c r="K230" s="12" t="s">
        <v>1222</v>
      </c>
      <c r="L230" s="18" t="s">
        <v>202</v>
      </c>
      <c r="M230" s="18" t="s">
        <v>229</v>
      </c>
      <c r="N230" s="12" t="s">
        <v>204</v>
      </c>
    </row>
    <row r="231" spans="1:14" x14ac:dyDescent="0.35">
      <c r="A231" s="12" t="s">
        <v>1264</v>
      </c>
      <c r="B231" s="18" t="s">
        <v>1265</v>
      </c>
      <c r="C231" s="12" t="s">
        <v>122</v>
      </c>
      <c r="D231" s="12" t="s">
        <v>34</v>
      </c>
      <c r="E231" s="12"/>
      <c r="F231" s="12" t="s">
        <v>65</v>
      </c>
      <c r="G231" s="12" t="s">
        <v>66</v>
      </c>
      <c r="H231" s="12" t="s">
        <v>198</v>
      </c>
      <c r="I231" s="12" t="s">
        <v>1266</v>
      </c>
      <c r="J231" s="12" t="s">
        <v>1267</v>
      </c>
      <c r="K231" s="12" t="s">
        <v>1222</v>
      </c>
      <c r="L231" s="18" t="s">
        <v>216</v>
      </c>
      <c r="M231" s="18" t="s">
        <v>1268</v>
      </c>
      <c r="N231" s="12" t="s">
        <v>1269</v>
      </c>
    </row>
    <row r="232" spans="1:14" ht="42.5" x14ac:dyDescent="0.35">
      <c r="A232" s="12" t="s">
        <v>1270</v>
      </c>
      <c r="B232" s="18" t="s">
        <v>1271</v>
      </c>
      <c r="C232" s="12" t="s">
        <v>122</v>
      </c>
      <c r="D232" s="12" t="s">
        <v>33</v>
      </c>
      <c r="E232" s="12"/>
      <c r="F232" s="12" t="s">
        <v>53</v>
      </c>
      <c r="G232" s="12" t="s">
        <v>54</v>
      </c>
      <c r="H232" s="12" t="s">
        <v>239</v>
      </c>
      <c r="I232" s="12" t="s">
        <v>1272</v>
      </c>
      <c r="J232" s="12" t="s">
        <v>1273</v>
      </c>
      <c r="K232" s="12" t="s">
        <v>1222</v>
      </c>
      <c r="L232" s="18" t="s">
        <v>202</v>
      </c>
      <c r="M232" s="18" t="s">
        <v>1274</v>
      </c>
      <c r="N232" s="12" t="s">
        <v>204</v>
      </c>
    </row>
    <row r="233" spans="1:14" x14ac:dyDescent="0.35">
      <c r="A233" s="12" t="s">
        <v>1275</v>
      </c>
      <c r="B233" s="18" t="s">
        <v>1276</v>
      </c>
      <c r="C233" s="12" t="s">
        <v>122</v>
      </c>
      <c r="D233" s="12" t="s">
        <v>33</v>
      </c>
      <c r="E233" s="12"/>
      <c r="F233" s="12" t="s">
        <v>73</v>
      </c>
      <c r="G233" s="12" t="s">
        <v>74</v>
      </c>
      <c r="H233" s="12" t="s">
        <v>239</v>
      </c>
      <c r="I233" s="12" t="s">
        <v>1277</v>
      </c>
      <c r="J233" s="12" t="s">
        <v>1258</v>
      </c>
      <c r="K233" s="12" t="s">
        <v>1222</v>
      </c>
      <c r="L233" s="18" t="s">
        <v>202</v>
      </c>
      <c r="M233" s="18" t="s">
        <v>1278</v>
      </c>
      <c r="N233" s="12" t="s">
        <v>204</v>
      </c>
    </row>
    <row r="234" spans="1:14" x14ac:dyDescent="0.35">
      <c r="A234" s="12" t="s">
        <v>1279</v>
      </c>
      <c r="B234" s="18" t="s">
        <v>1280</v>
      </c>
      <c r="C234" s="12" t="s">
        <v>122</v>
      </c>
      <c r="D234" s="12" t="s">
        <v>33</v>
      </c>
      <c r="E234" s="12"/>
      <c r="F234" s="12" t="s">
        <v>69</v>
      </c>
      <c r="G234" s="12" t="s">
        <v>70</v>
      </c>
      <c r="H234" s="12" t="s">
        <v>259</v>
      </c>
      <c r="I234" s="12" t="s">
        <v>1232</v>
      </c>
      <c r="J234" s="12" t="s">
        <v>1233</v>
      </c>
      <c r="K234" s="12" t="s">
        <v>1222</v>
      </c>
      <c r="L234" s="18" t="s">
        <v>202</v>
      </c>
      <c r="M234" s="18" t="s">
        <v>375</v>
      </c>
      <c r="N234" s="12" t="s">
        <v>204</v>
      </c>
    </row>
    <row r="235" spans="1:14" x14ac:dyDescent="0.35">
      <c r="A235" s="12" t="s">
        <v>1281</v>
      </c>
      <c r="B235" s="18" t="s">
        <v>1282</v>
      </c>
      <c r="C235" s="12" t="s">
        <v>122</v>
      </c>
      <c r="D235" s="12" t="s">
        <v>33</v>
      </c>
      <c r="E235" s="12"/>
      <c r="F235" s="12" t="s">
        <v>55</v>
      </c>
      <c r="G235" s="12" t="s">
        <v>56</v>
      </c>
      <c r="H235" s="12" t="s">
        <v>198</v>
      </c>
      <c r="I235" s="12" t="s">
        <v>1283</v>
      </c>
      <c r="J235" s="12" t="s">
        <v>1284</v>
      </c>
      <c r="K235" s="12" t="s">
        <v>1285</v>
      </c>
      <c r="L235" s="18" t="s">
        <v>209</v>
      </c>
      <c r="M235" s="18" t="s">
        <v>1286</v>
      </c>
      <c r="N235" s="12" t="s">
        <v>1287</v>
      </c>
    </row>
    <row r="236" spans="1:14" x14ac:dyDescent="0.35">
      <c r="A236" s="12" t="s">
        <v>1288</v>
      </c>
      <c r="B236" s="18" t="s">
        <v>1289</v>
      </c>
      <c r="C236" s="12" t="s">
        <v>122</v>
      </c>
      <c r="D236" s="12" t="s">
        <v>33</v>
      </c>
      <c r="E236" s="12"/>
      <c r="F236" s="12" t="s">
        <v>53</v>
      </c>
      <c r="G236" s="12" t="s">
        <v>54</v>
      </c>
      <c r="H236" s="12" t="s">
        <v>198</v>
      </c>
      <c r="I236" s="12" t="s">
        <v>1290</v>
      </c>
      <c r="J236" s="12" t="s">
        <v>1291</v>
      </c>
      <c r="K236" s="12" t="s">
        <v>1285</v>
      </c>
      <c r="L236" s="18" t="s">
        <v>209</v>
      </c>
      <c r="M236" s="18" t="s">
        <v>1292</v>
      </c>
      <c r="N236" s="12" t="s">
        <v>1293</v>
      </c>
    </row>
    <row r="237" spans="1:14" x14ac:dyDescent="0.35">
      <c r="A237" s="12" t="s">
        <v>1294</v>
      </c>
      <c r="B237" s="18" t="s">
        <v>1295</v>
      </c>
      <c r="C237" s="12" t="s">
        <v>122</v>
      </c>
      <c r="D237" s="12" t="s">
        <v>33</v>
      </c>
      <c r="E237" s="12"/>
      <c r="F237" s="12" t="s">
        <v>53</v>
      </c>
      <c r="G237" s="12" t="s">
        <v>54</v>
      </c>
      <c r="H237" s="12" t="s">
        <v>259</v>
      </c>
      <c r="I237" s="12" t="s">
        <v>1296</v>
      </c>
      <c r="J237" s="12" t="s">
        <v>1297</v>
      </c>
      <c r="K237" s="12" t="s">
        <v>1298</v>
      </c>
      <c r="L237" s="18" t="s">
        <v>202</v>
      </c>
      <c r="M237" s="18" t="s">
        <v>1299</v>
      </c>
      <c r="N237" s="12" t="s">
        <v>204</v>
      </c>
    </row>
    <row r="238" spans="1:14" ht="28.5" x14ac:dyDescent="0.35">
      <c r="A238" s="12" t="s">
        <v>1300</v>
      </c>
      <c r="B238" s="18" t="s">
        <v>1301</v>
      </c>
      <c r="C238" s="12" t="s">
        <v>122</v>
      </c>
      <c r="D238" s="12" t="s">
        <v>33</v>
      </c>
      <c r="E238" s="12"/>
      <c r="F238" s="12" t="s">
        <v>59</v>
      </c>
      <c r="G238" s="12" t="s">
        <v>60</v>
      </c>
      <c r="H238" s="12" t="s">
        <v>259</v>
      </c>
      <c r="I238" s="12" t="s">
        <v>1302</v>
      </c>
      <c r="J238" s="12" t="s">
        <v>1303</v>
      </c>
      <c r="K238" s="12" t="s">
        <v>1298</v>
      </c>
      <c r="L238" s="18" t="s">
        <v>202</v>
      </c>
      <c r="M238" s="18" t="s">
        <v>1304</v>
      </c>
      <c r="N238" s="12" t="s">
        <v>204</v>
      </c>
    </row>
    <row r="239" spans="1:14" ht="28.5" x14ac:dyDescent="0.35">
      <c r="A239" s="12" t="s">
        <v>1305</v>
      </c>
      <c r="B239" s="18" t="s">
        <v>1306</v>
      </c>
      <c r="C239" s="12" t="s">
        <v>122</v>
      </c>
      <c r="D239" s="12" t="s">
        <v>33</v>
      </c>
      <c r="E239" s="12"/>
      <c r="F239" s="12" t="s">
        <v>53</v>
      </c>
      <c r="G239" s="12" t="s">
        <v>54</v>
      </c>
      <c r="H239" s="12" t="s">
        <v>198</v>
      </c>
      <c r="I239" s="12" t="s">
        <v>1296</v>
      </c>
      <c r="J239" s="12" t="s">
        <v>1303</v>
      </c>
      <c r="K239" s="12" t="s">
        <v>1298</v>
      </c>
      <c r="L239" s="18" t="s">
        <v>202</v>
      </c>
      <c r="M239" s="18" t="s">
        <v>1307</v>
      </c>
      <c r="N239" s="12" t="s">
        <v>204</v>
      </c>
    </row>
    <row r="240" spans="1:14" x14ac:dyDescent="0.35">
      <c r="A240" s="12" t="s">
        <v>1308</v>
      </c>
      <c r="B240" s="18" t="s">
        <v>1309</v>
      </c>
      <c r="C240" s="12" t="s">
        <v>122</v>
      </c>
      <c r="D240" s="12" t="s">
        <v>33</v>
      </c>
      <c r="E240" s="12"/>
      <c r="F240" s="12" t="s">
        <v>57</v>
      </c>
      <c r="G240" s="12" t="s">
        <v>58</v>
      </c>
      <c r="H240" s="12" t="s">
        <v>198</v>
      </c>
      <c r="I240" s="12" t="s">
        <v>1310</v>
      </c>
      <c r="J240" s="12" t="s">
        <v>1311</v>
      </c>
      <c r="K240" s="12" t="s">
        <v>1298</v>
      </c>
      <c r="L240" s="18" t="s">
        <v>202</v>
      </c>
      <c r="M240" s="18" t="s">
        <v>414</v>
      </c>
      <c r="N240" s="12" t="s">
        <v>204</v>
      </c>
    </row>
    <row r="241" spans="1:14" ht="28.5" x14ac:dyDescent="0.35">
      <c r="A241" s="12" t="s">
        <v>1312</v>
      </c>
      <c r="B241" s="18" t="s">
        <v>1313</v>
      </c>
      <c r="C241" s="12" t="s">
        <v>122</v>
      </c>
      <c r="D241" s="12" t="s">
        <v>33</v>
      </c>
      <c r="E241" s="12"/>
      <c r="F241" s="12" t="s">
        <v>53</v>
      </c>
      <c r="G241" s="12" t="s">
        <v>54</v>
      </c>
      <c r="H241" s="12" t="s">
        <v>198</v>
      </c>
      <c r="I241" s="12" t="s">
        <v>1314</v>
      </c>
      <c r="J241" s="12" t="s">
        <v>1315</v>
      </c>
      <c r="K241" s="12" t="s">
        <v>1298</v>
      </c>
      <c r="L241" s="18" t="s">
        <v>202</v>
      </c>
      <c r="M241" s="18" t="s">
        <v>1316</v>
      </c>
      <c r="N241" s="12" t="s">
        <v>204</v>
      </c>
    </row>
    <row r="242" spans="1:14" ht="42.5" x14ac:dyDescent="0.35">
      <c r="A242" s="12" t="s">
        <v>1317</v>
      </c>
      <c r="B242" s="18" t="s">
        <v>1318</v>
      </c>
      <c r="C242" s="12" t="s">
        <v>122</v>
      </c>
      <c r="D242" s="12" t="s">
        <v>33</v>
      </c>
      <c r="E242" s="12"/>
      <c r="F242" s="12" t="s">
        <v>53</v>
      </c>
      <c r="G242" s="12" t="s">
        <v>54</v>
      </c>
      <c r="H242" s="12" t="s">
        <v>239</v>
      </c>
      <c r="I242" s="12" t="s">
        <v>1319</v>
      </c>
      <c r="J242" s="12" t="s">
        <v>1320</v>
      </c>
      <c r="K242" s="12" t="s">
        <v>1321</v>
      </c>
      <c r="L242" s="18" t="s">
        <v>209</v>
      </c>
      <c r="M242" s="18" t="s">
        <v>1322</v>
      </c>
      <c r="N242" s="12" t="s">
        <v>1323</v>
      </c>
    </row>
    <row r="243" spans="1:14" x14ac:dyDescent="0.35">
      <c r="A243" s="12" t="s">
        <v>1324</v>
      </c>
      <c r="B243" s="18" t="s">
        <v>1325</v>
      </c>
      <c r="C243" s="12" t="s">
        <v>122</v>
      </c>
      <c r="D243" s="12" t="s">
        <v>33</v>
      </c>
      <c r="E243" s="12"/>
      <c r="F243" s="12" t="s">
        <v>53</v>
      </c>
      <c r="G243" s="12" t="s">
        <v>54</v>
      </c>
      <c r="H243" s="12" t="s">
        <v>198</v>
      </c>
      <c r="I243" s="12" t="s">
        <v>1326</v>
      </c>
      <c r="J243" s="12" t="s">
        <v>1327</v>
      </c>
      <c r="K243" s="12" t="s">
        <v>1328</v>
      </c>
      <c r="L243" s="18" t="s">
        <v>202</v>
      </c>
      <c r="M243" s="18" t="s">
        <v>229</v>
      </c>
      <c r="N243" s="12" t="s">
        <v>204</v>
      </c>
    </row>
    <row r="244" spans="1:14" x14ac:dyDescent="0.35">
      <c r="A244" s="12" t="s">
        <v>1329</v>
      </c>
      <c r="B244" s="18" t="s">
        <v>1330</v>
      </c>
      <c r="C244" s="12" t="s">
        <v>122</v>
      </c>
      <c r="D244" s="12" t="s">
        <v>33</v>
      </c>
      <c r="E244" s="12"/>
      <c r="F244" s="12" t="s">
        <v>67</v>
      </c>
      <c r="G244" s="12" t="s">
        <v>68</v>
      </c>
      <c r="H244" s="12" t="s">
        <v>259</v>
      </c>
      <c r="I244" s="12" t="s">
        <v>1331</v>
      </c>
      <c r="J244" s="12" t="s">
        <v>1332</v>
      </c>
      <c r="K244" s="12" t="s">
        <v>1328</v>
      </c>
      <c r="L244" s="18" t="s">
        <v>202</v>
      </c>
      <c r="M244" s="18" t="s">
        <v>473</v>
      </c>
      <c r="N244" s="12" t="s">
        <v>204</v>
      </c>
    </row>
    <row r="245" spans="1:14" x14ac:dyDescent="0.35">
      <c r="A245" s="12" t="s">
        <v>1333</v>
      </c>
      <c r="B245" s="18" t="s">
        <v>1334</v>
      </c>
      <c r="C245" s="12" t="s">
        <v>122</v>
      </c>
      <c r="D245" s="12" t="s">
        <v>33</v>
      </c>
      <c r="E245" s="12"/>
      <c r="F245" s="12" t="s">
        <v>53</v>
      </c>
      <c r="G245" s="12" t="s">
        <v>54</v>
      </c>
      <c r="H245" s="12" t="s">
        <v>198</v>
      </c>
      <c r="I245" s="12" t="s">
        <v>1335</v>
      </c>
      <c r="J245" s="12" t="s">
        <v>1336</v>
      </c>
      <c r="K245" s="12" t="s">
        <v>1328</v>
      </c>
      <c r="L245" s="18" t="s">
        <v>202</v>
      </c>
      <c r="M245" s="18" t="s">
        <v>229</v>
      </c>
      <c r="N245" s="12" t="s">
        <v>204</v>
      </c>
    </row>
    <row r="246" spans="1:14" x14ac:dyDescent="0.35">
      <c r="A246" s="12" t="s">
        <v>1337</v>
      </c>
      <c r="B246" s="18" t="s">
        <v>1338</v>
      </c>
      <c r="C246" s="12" t="s">
        <v>122</v>
      </c>
      <c r="D246" s="12" t="s">
        <v>33</v>
      </c>
      <c r="E246" s="12"/>
      <c r="F246" s="12" t="s">
        <v>53</v>
      </c>
      <c r="G246" s="12" t="s">
        <v>54</v>
      </c>
      <c r="H246" s="12" t="s">
        <v>198</v>
      </c>
      <c r="I246" s="12" t="s">
        <v>1339</v>
      </c>
      <c r="J246" s="12" t="s">
        <v>1340</v>
      </c>
      <c r="K246" s="12" t="s">
        <v>1328</v>
      </c>
      <c r="L246" s="18" t="s">
        <v>202</v>
      </c>
      <c r="M246" s="18" t="s">
        <v>229</v>
      </c>
      <c r="N246" s="12" t="s">
        <v>204</v>
      </c>
    </row>
    <row r="247" spans="1:14" x14ac:dyDescent="0.35">
      <c r="A247" s="12" t="s">
        <v>1341</v>
      </c>
      <c r="B247" s="18" t="s">
        <v>1342</v>
      </c>
      <c r="C247" s="12" t="s">
        <v>122</v>
      </c>
      <c r="D247" s="12" t="s">
        <v>33</v>
      </c>
      <c r="E247" s="12"/>
      <c r="F247" s="12" t="s">
        <v>59</v>
      </c>
      <c r="G247" s="12" t="s">
        <v>60</v>
      </c>
      <c r="H247" s="12" t="s">
        <v>259</v>
      </c>
      <c r="I247" s="12" t="s">
        <v>1343</v>
      </c>
      <c r="J247" s="12" t="s">
        <v>1344</v>
      </c>
      <c r="K247" s="12" t="s">
        <v>1328</v>
      </c>
      <c r="L247" s="18" t="s">
        <v>209</v>
      </c>
      <c r="M247" s="18" t="s">
        <v>1345</v>
      </c>
      <c r="N247" s="12" t="s">
        <v>1346</v>
      </c>
    </row>
    <row r="248" spans="1:14" x14ac:dyDescent="0.35">
      <c r="A248" s="12" t="s">
        <v>1347</v>
      </c>
      <c r="B248" s="18" t="s">
        <v>1348</v>
      </c>
      <c r="C248" s="12" t="s">
        <v>122</v>
      </c>
      <c r="D248" s="12" t="s">
        <v>33</v>
      </c>
      <c r="E248" s="12"/>
      <c r="F248" s="12" t="s">
        <v>61</v>
      </c>
      <c r="G248" s="12" t="s">
        <v>62</v>
      </c>
      <c r="H248" s="12" t="s">
        <v>259</v>
      </c>
      <c r="I248" s="12" t="s">
        <v>1349</v>
      </c>
      <c r="J248" s="12" t="s">
        <v>1350</v>
      </c>
      <c r="K248" s="12" t="s">
        <v>1351</v>
      </c>
      <c r="L248" s="18" t="s">
        <v>202</v>
      </c>
      <c r="M248" s="18" t="s">
        <v>1352</v>
      </c>
      <c r="N248" s="12" t="s">
        <v>204</v>
      </c>
    </row>
    <row r="249" spans="1:14" x14ac:dyDescent="0.35">
      <c r="A249" s="12" t="s">
        <v>1353</v>
      </c>
      <c r="B249" s="18" t="s">
        <v>1354</v>
      </c>
      <c r="C249" s="12" t="s">
        <v>122</v>
      </c>
      <c r="D249" s="12" t="s">
        <v>33</v>
      </c>
      <c r="E249" s="12"/>
      <c r="F249" s="12" t="s">
        <v>55</v>
      </c>
      <c r="G249" s="12" t="s">
        <v>56</v>
      </c>
      <c r="H249" s="12" t="s">
        <v>259</v>
      </c>
      <c r="I249" s="12" t="s">
        <v>1355</v>
      </c>
      <c r="J249" s="12" t="s">
        <v>1356</v>
      </c>
      <c r="K249" s="12" t="s">
        <v>1351</v>
      </c>
      <c r="L249" s="18" t="s">
        <v>202</v>
      </c>
      <c r="M249" s="18" t="s">
        <v>371</v>
      </c>
      <c r="N249" s="12" t="s">
        <v>204</v>
      </c>
    </row>
    <row r="250" spans="1:14" x14ac:dyDescent="0.35">
      <c r="A250" s="12" t="s">
        <v>1357</v>
      </c>
      <c r="B250" s="18" t="s">
        <v>1358</v>
      </c>
      <c r="C250" s="12" t="s">
        <v>122</v>
      </c>
      <c r="D250" s="12" t="s">
        <v>33</v>
      </c>
      <c r="E250" s="12"/>
      <c r="F250" s="12" t="s">
        <v>57</v>
      </c>
      <c r="G250" s="12" t="s">
        <v>58</v>
      </c>
      <c r="H250" s="12" t="s">
        <v>198</v>
      </c>
      <c r="I250" s="12" t="s">
        <v>1359</v>
      </c>
      <c r="J250" s="12" t="s">
        <v>1360</v>
      </c>
      <c r="K250" s="12" t="s">
        <v>1351</v>
      </c>
      <c r="L250" s="18" t="s">
        <v>202</v>
      </c>
      <c r="M250" s="18" t="s">
        <v>414</v>
      </c>
      <c r="N250" s="12" t="s">
        <v>204</v>
      </c>
    </row>
    <row r="251" spans="1:14" x14ac:dyDescent="0.35">
      <c r="A251" s="12" t="s">
        <v>1361</v>
      </c>
      <c r="B251" s="18" t="s">
        <v>1362</v>
      </c>
      <c r="C251" s="12" t="s">
        <v>122</v>
      </c>
      <c r="D251" s="12" t="s">
        <v>33</v>
      </c>
      <c r="E251" s="12"/>
      <c r="F251" s="12" t="s">
        <v>53</v>
      </c>
      <c r="G251" s="12" t="s">
        <v>54</v>
      </c>
      <c r="H251" s="12" t="s">
        <v>198</v>
      </c>
      <c r="I251" s="12" t="s">
        <v>1359</v>
      </c>
      <c r="J251" s="12" t="s">
        <v>1360</v>
      </c>
      <c r="K251" s="12" t="s">
        <v>1351</v>
      </c>
      <c r="L251" s="18" t="s">
        <v>202</v>
      </c>
      <c r="M251" s="18" t="s">
        <v>229</v>
      </c>
      <c r="N251" s="12" t="s">
        <v>204</v>
      </c>
    </row>
    <row r="252" spans="1:14" x14ac:dyDescent="0.35">
      <c r="A252" s="12" t="s">
        <v>1363</v>
      </c>
      <c r="B252" s="18" t="s">
        <v>1364</v>
      </c>
      <c r="C252" s="12" t="s">
        <v>122</v>
      </c>
      <c r="D252" s="12" t="s">
        <v>33</v>
      </c>
      <c r="E252" s="12"/>
      <c r="F252" s="12" t="s">
        <v>53</v>
      </c>
      <c r="G252" s="12" t="s">
        <v>54</v>
      </c>
      <c r="H252" s="12" t="s">
        <v>259</v>
      </c>
      <c r="I252" s="12" t="s">
        <v>1365</v>
      </c>
      <c r="J252" s="12" t="s">
        <v>1366</v>
      </c>
      <c r="K252" s="12" t="s">
        <v>1351</v>
      </c>
      <c r="L252" s="18" t="s">
        <v>202</v>
      </c>
      <c r="M252" s="18" t="s">
        <v>229</v>
      </c>
      <c r="N252" s="12" t="s">
        <v>204</v>
      </c>
    </row>
    <row r="253" spans="1:14" ht="28.5" x14ac:dyDescent="0.35">
      <c r="A253" s="12" t="s">
        <v>1367</v>
      </c>
      <c r="B253" s="18" t="s">
        <v>1368</v>
      </c>
      <c r="C253" s="12" t="s">
        <v>122</v>
      </c>
      <c r="D253" s="12" t="s">
        <v>33</v>
      </c>
      <c r="E253" s="12"/>
      <c r="F253" s="12" t="s">
        <v>53</v>
      </c>
      <c r="G253" s="12" t="s">
        <v>54</v>
      </c>
      <c r="H253" s="12" t="s">
        <v>198</v>
      </c>
      <c r="I253" s="12" t="s">
        <v>1369</v>
      </c>
      <c r="J253" s="12" t="s">
        <v>1370</v>
      </c>
      <c r="K253" s="12" t="s">
        <v>1351</v>
      </c>
      <c r="L253" s="18" t="s">
        <v>202</v>
      </c>
      <c r="M253" s="18" t="s">
        <v>1371</v>
      </c>
      <c r="N253" s="12" t="s">
        <v>204</v>
      </c>
    </row>
    <row r="254" spans="1:14" x14ac:dyDescent="0.35">
      <c r="A254" s="12" t="s">
        <v>1372</v>
      </c>
      <c r="B254" s="18" t="s">
        <v>1373</v>
      </c>
      <c r="C254" s="12" t="s">
        <v>122</v>
      </c>
      <c r="D254" s="12" t="s">
        <v>33</v>
      </c>
      <c r="E254" s="12"/>
      <c r="F254" s="12" t="s">
        <v>69</v>
      </c>
      <c r="G254" s="12" t="s">
        <v>70</v>
      </c>
      <c r="H254" s="12" t="s">
        <v>259</v>
      </c>
      <c r="I254" s="12" t="s">
        <v>1374</v>
      </c>
      <c r="J254" s="12" t="s">
        <v>1375</v>
      </c>
      <c r="K254" s="12" t="s">
        <v>1351</v>
      </c>
      <c r="L254" s="18" t="s">
        <v>209</v>
      </c>
      <c r="M254" s="18" t="s">
        <v>1376</v>
      </c>
      <c r="N254" s="12" t="s">
        <v>1377</v>
      </c>
    </row>
    <row r="255" spans="1:14" x14ac:dyDescent="0.35">
      <c r="A255" s="12" t="s">
        <v>1378</v>
      </c>
      <c r="B255" s="18" t="s">
        <v>1379</v>
      </c>
      <c r="C255" s="12" t="s">
        <v>122</v>
      </c>
      <c r="D255" s="12" t="s">
        <v>33</v>
      </c>
      <c r="E255" s="12"/>
      <c r="F255" s="12" t="s">
        <v>53</v>
      </c>
      <c r="G255" s="12" t="s">
        <v>54</v>
      </c>
      <c r="H255" s="12" t="s">
        <v>198</v>
      </c>
      <c r="I255" s="12" t="s">
        <v>1380</v>
      </c>
      <c r="J255" s="12" t="s">
        <v>1381</v>
      </c>
      <c r="K255" s="12" t="s">
        <v>1351</v>
      </c>
      <c r="L255" s="18" t="s">
        <v>202</v>
      </c>
      <c r="M255" s="18" t="s">
        <v>229</v>
      </c>
      <c r="N255" s="12" t="s">
        <v>204</v>
      </c>
    </row>
    <row r="256" spans="1:14" ht="28.5" x14ac:dyDescent="0.35">
      <c r="A256" s="12" t="s">
        <v>1382</v>
      </c>
      <c r="B256" s="18" t="s">
        <v>1383</v>
      </c>
      <c r="C256" s="12" t="s">
        <v>122</v>
      </c>
      <c r="D256" s="12" t="s">
        <v>33</v>
      </c>
      <c r="E256" s="12"/>
      <c r="F256" s="12" t="s">
        <v>57</v>
      </c>
      <c r="G256" s="12" t="s">
        <v>58</v>
      </c>
      <c r="H256" s="12" t="s">
        <v>386</v>
      </c>
      <c r="I256" s="12" t="s">
        <v>1380</v>
      </c>
      <c r="J256" s="12" t="s">
        <v>1381</v>
      </c>
      <c r="K256" s="12" t="s">
        <v>1351</v>
      </c>
      <c r="L256" s="18" t="s">
        <v>202</v>
      </c>
      <c r="M256" s="18" t="s">
        <v>1384</v>
      </c>
      <c r="N256" s="12" t="s">
        <v>204</v>
      </c>
    </row>
    <row r="257" spans="1:14" x14ac:dyDescent="0.35">
      <c r="A257" s="12" t="s">
        <v>1385</v>
      </c>
      <c r="B257" s="18" t="s">
        <v>1386</v>
      </c>
      <c r="C257" s="12" t="s">
        <v>122</v>
      </c>
      <c r="D257" s="12" t="s">
        <v>33</v>
      </c>
      <c r="E257" s="12"/>
      <c r="F257" s="12" t="s">
        <v>53</v>
      </c>
      <c r="G257" s="12" t="s">
        <v>54</v>
      </c>
      <c r="H257" s="12" t="s">
        <v>239</v>
      </c>
      <c r="I257" s="12" t="s">
        <v>1387</v>
      </c>
      <c r="J257" s="12" t="s">
        <v>1388</v>
      </c>
      <c r="K257" s="12" t="s">
        <v>1351</v>
      </c>
      <c r="L257" s="18" t="s">
        <v>202</v>
      </c>
      <c r="M257" s="18" t="s">
        <v>229</v>
      </c>
      <c r="N257" s="12" t="s">
        <v>204</v>
      </c>
    </row>
    <row r="258" spans="1:14" x14ac:dyDescent="0.35">
      <c r="A258" s="12" t="s">
        <v>1389</v>
      </c>
      <c r="B258" s="18" t="s">
        <v>1390</v>
      </c>
      <c r="C258" s="12" t="s">
        <v>122</v>
      </c>
      <c r="D258" s="12" t="s">
        <v>33</v>
      </c>
      <c r="E258" s="12"/>
      <c r="F258" s="12" t="s">
        <v>55</v>
      </c>
      <c r="G258" s="12" t="s">
        <v>56</v>
      </c>
      <c r="H258" s="12" t="s">
        <v>259</v>
      </c>
      <c r="I258" s="12" t="s">
        <v>1391</v>
      </c>
      <c r="J258" s="12" t="s">
        <v>1392</v>
      </c>
      <c r="K258" s="12" t="s">
        <v>1351</v>
      </c>
      <c r="L258" s="18" t="s">
        <v>202</v>
      </c>
      <c r="M258" s="18" t="s">
        <v>371</v>
      </c>
      <c r="N258" s="12" t="s">
        <v>204</v>
      </c>
    </row>
    <row r="259" spans="1:14" x14ac:dyDescent="0.35">
      <c r="A259" s="12" t="s">
        <v>1393</v>
      </c>
      <c r="B259" s="18" t="s">
        <v>1394</v>
      </c>
      <c r="C259" s="12" t="s">
        <v>122</v>
      </c>
      <c r="D259" s="12" t="s">
        <v>33</v>
      </c>
      <c r="E259" s="12"/>
      <c r="F259" s="12" t="s">
        <v>91</v>
      </c>
      <c r="G259" s="12" t="s">
        <v>92</v>
      </c>
      <c r="H259" s="12" t="s">
        <v>239</v>
      </c>
      <c r="I259" s="12" t="s">
        <v>1391</v>
      </c>
      <c r="J259" s="12" t="s">
        <v>1392</v>
      </c>
      <c r="K259" s="12" t="s">
        <v>1351</v>
      </c>
      <c r="L259" s="18" t="s">
        <v>202</v>
      </c>
      <c r="M259" s="18" t="s">
        <v>1395</v>
      </c>
      <c r="N259" s="12" t="s">
        <v>204</v>
      </c>
    </row>
    <row r="260" spans="1:14" ht="28.5" x14ac:dyDescent="0.35">
      <c r="A260" s="12" t="s">
        <v>1396</v>
      </c>
      <c r="B260" s="18" t="s">
        <v>1397</v>
      </c>
      <c r="C260" s="12" t="s">
        <v>122</v>
      </c>
      <c r="D260" s="12" t="s">
        <v>33</v>
      </c>
      <c r="E260" s="12"/>
      <c r="F260" s="12" t="s">
        <v>55</v>
      </c>
      <c r="G260" s="12" t="s">
        <v>56</v>
      </c>
      <c r="H260" s="12" t="s">
        <v>198</v>
      </c>
      <c r="I260" s="12" t="s">
        <v>1398</v>
      </c>
      <c r="J260" s="12" t="s">
        <v>1399</v>
      </c>
      <c r="K260" s="12" t="s">
        <v>1351</v>
      </c>
      <c r="L260" s="18" t="s">
        <v>202</v>
      </c>
      <c r="M260" s="18" t="s">
        <v>1400</v>
      </c>
      <c r="N260" s="12" t="s">
        <v>204</v>
      </c>
    </row>
    <row r="261" spans="1:14" ht="28.5" x14ac:dyDescent="0.35">
      <c r="A261" s="12" t="s">
        <v>1401</v>
      </c>
      <c r="B261" s="18" t="s">
        <v>1402</v>
      </c>
      <c r="C261" s="12" t="s">
        <v>122</v>
      </c>
      <c r="D261" s="12" t="s">
        <v>33</v>
      </c>
      <c r="E261" s="12"/>
      <c r="F261" s="12" t="s">
        <v>53</v>
      </c>
      <c r="G261" s="12" t="s">
        <v>54</v>
      </c>
      <c r="H261" s="12" t="s">
        <v>198</v>
      </c>
      <c r="I261" s="12" t="s">
        <v>1403</v>
      </c>
      <c r="J261" s="12" t="s">
        <v>1404</v>
      </c>
      <c r="K261" s="12" t="s">
        <v>1351</v>
      </c>
      <c r="L261" s="18" t="s">
        <v>202</v>
      </c>
      <c r="M261" s="18" t="s">
        <v>1405</v>
      </c>
      <c r="N261" s="12" t="s">
        <v>204</v>
      </c>
    </row>
    <row r="262" spans="1:14" ht="28.5" x14ac:dyDescent="0.35">
      <c r="A262" s="12" t="s">
        <v>1406</v>
      </c>
      <c r="B262" s="18" t="s">
        <v>1407</v>
      </c>
      <c r="C262" s="12" t="s">
        <v>122</v>
      </c>
      <c r="D262" s="12" t="s">
        <v>33</v>
      </c>
      <c r="E262" s="12"/>
      <c r="F262" s="12" t="s">
        <v>57</v>
      </c>
      <c r="G262" s="12" t="s">
        <v>58</v>
      </c>
      <c r="H262" s="12" t="s">
        <v>239</v>
      </c>
      <c r="I262" s="12" t="s">
        <v>1408</v>
      </c>
      <c r="J262" s="12" t="s">
        <v>1409</v>
      </c>
      <c r="K262" s="12" t="s">
        <v>1351</v>
      </c>
      <c r="L262" s="18" t="s">
        <v>202</v>
      </c>
      <c r="M262" s="18" t="s">
        <v>414</v>
      </c>
      <c r="N262" s="12" t="s">
        <v>204</v>
      </c>
    </row>
    <row r="263" spans="1:14" ht="28.5" x14ac:dyDescent="0.35">
      <c r="A263" s="12" t="s">
        <v>1410</v>
      </c>
      <c r="B263" s="18" t="s">
        <v>1411</v>
      </c>
      <c r="C263" s="12" t="s">
        <v>122</v>
      </c>
      <c r="D263" s="12" t="s">
        <v>33</v>
      </c>
      <c r="E263" s="12"/>
      <c r="F263" s="12" t="s">
        <v>53</v>
      </c>
      <c r="G263" s="12" t="s">
        <v>54</v>
      </c>
      <c r="H263" s="12" t="s">
        <v>198</v>
      </c>
      <c r="I263" s="12" t="s">
        <v>1412</v>
      </c>
      <c r="J263" s="12" t="s">
        <v>1413</v>
      </c>
      <c r="K263" s="12" t="s">
        <v>1351</v>
      </c>
      <c r="L263" s="18" t="s">
        <v>202</v>
      </c>
      <c r="M263" s="18" t="s">
        <v>1414</v>
      </c>
      <c r="N263" s="12" t="s">
        <v>204</v>
      </c>
    </row>
    <row r="264" spans="1:14" x14ac:dyDescent="0.35">
      <c r="A264" s="12" t="s">
        <v>1415</v>
      </c>
      <c r="B264" s="18" t="s">
        <v>1416</v>
      </c>
      <c r="C264" s="12" t="s">
        <v>122</v>
      </c>
      <c r="D264" s="12" t="s">
        <v>33</v>
      </c>
      <c r="E264" s="12"/>
      <c r="F264" s="12" t="s">
        <v>59</v>
      </c>
      <c r="G264" s="12" t="s">
        <v>60</v>
      </c>
      <c r="H264" s="12" t="s">
        <v>198</v>
      </c>
      <c r="I264" s="12" t="s">
        <v>1417</v>
      </c>
      <c r="J264" s="12" t="s">
        <v>1418</v>
      </c>
      <c r="K264" s="12" t="s">
        <v>1419</v>
      </c>
      <c r="L264" s="18" t="s">
        <v>209</v>
      </c>
      <c r="M264" s="18" t="s">
        <v>1420</v>
      </c>
      <c r="N264" s="12" t="s">
        <v>1421</v>
      </c>
    </row>
    <row r="265" spans="1:14" x14ac:dyDescent="0.35">
      <c r="A265" s="12" t="s">
        <v>1422</v>
      </c>
      <c r="B265" s="18" t="s">
        <v>1423</v>
      </c>
      <c r="C265" s="12" t="s">
        <v>122</v>
      </c>
      <c r="D265" s="12" t="s">
        <v>33</v>
      </c>
      <c r="E265" s="12"/>
      <c r="F265" s="12" t="s">
        <v>59</v>
      </c>
      <c r="G265" s="12" t="s">
        <v>60</v>
      </c>
      <c r="H265" s="12" t="s">
        <v>198</v>
      </c>
      <c r="I265" s="12" t="s">
        <v>1424</v>
      </c>
      <c r="J265" s="12" t="s">
        <v>1425</v>
      </c>
      <c r="K265" s="12" t="s">
        <v>1419</v>
      </c>
      <c r="L265" s="18" t="s">
        <v>209</v>
      </c>
      <c r="M265" s="18" t="s">
        <v>1426</v>
      </c>
      <c r="N265" s="12" t="s">
        <v>1427</v>
      </c>
    </row>
    <row r="266" spans="1:14" x14ac:dyDescent="0.35">
      <c r="A266" s="12" t="s">
        <v>1428</v>
      </c>
      <c r="B266" s="18" t="s">
        <v>1429</v>
      </c>
      <c r="C266" s="12" t="s">
        <v>122</v>
      </c>
      <c r="D266" s="12" t="s">
        <v>33</v>
      </c>
      <c r="E266" s="12"/>
      <c r="F266" s="12" t="s">
        <v>93</v>
      </c>
      <c r="G266" s="12" t="s">
        <v>94</v>
      </c>
      <c r="H266" s="12" t="s">
        <v>198</v>
      </c>
      <c r="I266" s="12" t="s">
        <v>1430</v>
      </c>
      <c r="J266" s="12" t="s">
        <v>1431</v>
      </c>
      <c r="K266" s="12" t="s">
        <v>1419</v>
      </c>
      <c r="L266" s="18" t="s">
        <v>209</v>
      </c>
      <c r="M266" s="18" t="s">
        <v>1432</v>
      </c>
      <c r="N266" s="12" t="s">
        <v>1433</v>
      </c>
    </row>
    <row r="267" spans="1:14" x14ac:dyDescent="0.35">
      <c r="A267" s="12" t="s">
        <v>1434</v>
      </c>
      <c r="B267" s="18" t="s">
        <v>1435</v>
      </c>
      <c r="C267" s="12" t="s">
        <v>122</v>
      </c>
      <c r="D267" s="12" t="s">
        <v>33</v>
      </c>
      <c r="E267" s="12"/>
      <c r="F267" s="12" t="s">
        <v>55</v>
      </c>
      <c r="G267" s="12" t="s">
        <v>56</v>
      </c>
      <c r="H267" s="12" t="s">
        <v>198</v>
      </c>
      <c r="I267" s="12" t="s">
        <v>1436</v>
      </c>
      <c r="J267" s="12" t="s">
        <v>1437</v>
      </c>
      <c r="K267" s="12" t="s">
        <v>1419</v>
      </c>
      <c r="L267" s="18" t="s">
        <v>209</v>
      </c>
      <c r="M267" s="18" t="s">
        <v>1438</v>
      </c>
      <c r="N267" s="12" t="s">
        <v>1439</v>
      </c>
    </row>
    <row r="268" spans="1:14" x14ac:dyDescent="0.35">
      <c r="A268" s="12" t="s">
        <v>1440</v>
      </c>
      <c r="B268" s="18" t="s">
        <v>1441</v>
      </c>
      <c r="C268" s="12" t="s">
        <v>122</v>
      </c>
      <c r="D268" s="12" t="s">
        <v>33</v>
      </c>
      <c r="E268" s="12"/>
      <c r="F268" s="12" t="s">
        <v>59</v>
      </c>
      <c r="G268" s="12" t="s">
        <v>60</v>
      </c>
      <c r="H268" s="12" t="s">
        <v>259</v>
      </c>
      <c r="I268" s="12" t="s">
        <v>1442</v>
      </c>
      <c r="J268" s="12" t="s">
        <v>1443</v>
      </c>
      <c r="K268" s="12" t="s">
        <v>1419</v>
      </c>
      <c r="L268" s="18" t="s">
        <v>202</v>
      </c>
      <c r="M268" s="18" t="s">
        <v>313</v>
      </c>
      <c r="N268" s="12" t="s">
        <v>204</v>
      </c>
    </row>
    <row r="269" spans="1:14" x14ac:dyDescent="0.35">
      <c r="A269" s="12" t="s">
        <v>1444</v>
      </c>
      <c r="B269" s="18" t="s">
        <v>1445</v>
      </c>
      <c r="C269" s="12" t="s">
        <v>122</v>
      </c>
      <c r="D269" s="12" t="s">
        <v>33</v>
      </c>
      <c r="E269" s="12"/>
      <c r="F269" s="12" t="s">
        <v>59</v>
      </c>
      <c r="G269" s="12" t="s">
        <v>60</v>
      </c>
      <c r="H269" s="12" t="s">
        <v>239</v>
      </c>
      <c r="I269" s="12" t="s">
        <v>1446</v>
      </c>
      <c r="J269" s="12" t="s">
        <v>1447</v>
      </c>
      <c r="K269" s="12" t="s">
        <v>1419</v>
      </c>
      <c r="L269" s="18" t="s">
        <v>209</v>
      </c>
      <c r="M269" s="18" t="s">
        <v>1448</v>
      </c>
      <c r="N269" s="12" t="s">
        <v>1449</v>
      </c>
    </row>
    <row r="270" spans="1:14" ht="28.5" x14ac:dyDescent="0.35">
      <c r="A270" s="12" t="s">
        <v>1450</v>
      </c>
      <c r="B270" s="18" t="s">
        <v>1451</v>
      </c>
      <c r="C270" s="12" t="s">
        <v>122</v>
      </c>
      <c r="D270" s="12" t="s">
        <v>33</v>
      </c>
      <c r="E270" s="12"/>
      <c r="F270" s="12" t="s">
        <v>55</v>
      </c>
      <c r="G270" s="12" t="s">
        <v>56</v>
      </c>
      <c r="H270" s="12" t="s">
        <v>198</v>
      </c>
      <c r="I270" s="12" t="s">
        <v>1452</v>
      </c>
      <c r="J270" s="12" t="s">
        <v>1453</v>
      </c>
      <c r="K270" s="12" t="s">
        <v>1419</v>
      </c>
      <c r="L270" s="18" t="s">
        <v>202</v>
      </c>
      <c r="M270" s="18" t="s">
        <v>1454</v>
      </c>
      <c r="N270" s="12" t="s">
        <v>204</v>
      </c>
    </row>
    <row r="271" spans="1:14" ht="56.5" x14ac:dyDescent="0.35">
      <c r="A271" s="12" t="s">
        <v>1455</v>
      </c>
      <c r="B271" s="18" t="s">
        <v>1456</v>
      </c>
      <c r="C271" s="12" t="s">
        <v>122</v>
      </c>
      <c r="D271" s="12" t="s">
        <v>33</v>
      </c>
      <c r="E271" s="12"/>
      <c r="F271" s="12" t="s">
        <v>63</v>
      </c>
      <c r="G271" s="12" t="s">
        <v>64</v>
      </c>
      <c r="H271" s="12" t="s">
        <v>386</v>
      </c>
      <c r="I271" s="12" t="s">
        <v>1457</v>
      </c>
      <c r="J271" s="12" t="s">
        <v>1458</v>
      </c>
      <c r="K271" s="12" t="s">
        <v>1419</v>
      </c>
      <c r="L271" s="18" t="s">
        <v>202</v>
      </c>
      <c r="M271" s="18" t="s">
        <v>1459</v>
      </c>
      <c r="N271" s="12" t="s">
        <v>204</v>
      </c>
    </row>
    <row r="272" spans="1:14" ht="42.5" x14ac:dyDescent="0.35">
      <c r="A272" s="12" t="s">
        <v>1460</v>
      </c>
      <c r="B272" s="18" t="s">
        <v>1461</v>
      </c>
      <c r="C272" s="12" t="s">
        <v>122</v>
      </c>
      <c r="D272" s="12" t="s">
        <v>33</v>
      </c>
      <c r="E272" s="12"/>
      <c r="F272" s="12" t="s">
        <v>59</v>
      </c>
      <c r="G272" s="12" t="s">
        <v>60</v>
      </c>
      <c r="H272" s="12" t="s">
        <v>198</v>
      </c>
      <c r="I272" s="12" t="s">
        <v>1462</v>
      </c>
      <c r="J272" s="12" t="s">
        <v>1463</v>
      </c>
      <c r="K272" s="12" t="s">
        <v>1419</v>
      </c>
      <c r="L272" s="18" t="s">
        <v>216</v>
      </c>
      <c r="M272" s="18" t="s">
        <v>1464</v>
      </c>
      <c r="N272" s="12" t="s">
        <v>1465</v>
      </c>
    </row>
    <row r="273" spans="1:14" ht="56.5" x14ac:dyDescent="0.35">
      <c r="A273" s="18" t="s">
        <v>2708</v>
      </c>
      <c r="B273" s="18" t="s">
        <v>2709</v>
      </c>
      <c r="C273" s="12" t="s">
        <v>122</v>
      </c>
      <c r="D273" s="18" t="s">
        <v>34</v>
      </c>
      <c r="E273" s="18"/>
      <c r="F273" s="12" t="s">
        <v>65</v>
      </c>
      <c r="G273" s="12" t="s">
        <v>66</v>
      </c>
      <c r="H273" s="12" t="s">
        <v>198</v>
      </c>
      <c r="I273" s="12" t="s">
        <v>2710</v>
      </c>
      <c r="J273" s="12" t="s">
        <v>2711</v>
      </c>
      <c r="K273" s="12" t="s">
        <v>1419</v>
      </c>
      <c r="L273" s="12" t="s">
        <v>216</v>
      </c>
      <c r="M273" s="18" t="s">
        <v>4725</v>
      </c>
      <c r="N273" s="18" t="s">
        <v>4726</v>
      </c>
    </row>
    <row r="274" spans="1:14" x14ac:dyDescent="0.35">
      <c r="A274" s="12" t="s">
        <v>1466</v>
      </c>
      <c r="B274" s="18" t="s">
        <v>1467</v>
      </c>
      <c r="C274" s="12" t="s">
        <v>122</v>
      </c>
      <c r="D274" s="12" t="s">
        <v>33</v>
      </c>
      <c r="E274" s="12"/>
      <c r="F274" s="12" t="s">
        <v>53</v>
      </c>
      <c r="G274" s="12" t="s">
        <v>54</v>
      </c>
      <c r="H274" s="12" t="s">
        <v>259</v>
      </c>
      <c r="I274" s="12" t="s">
        <v>1468</v>
      </c>
      <c r="J274" s="12" t="s">
        <v>1469</v>
      </c>
      <c r="K274" s="12" t="s">
        <v>1419</v>
      </c>
      <c r="L274" s="18" t="s">
        <v>209</v>
      </c>
      <c r="M274" s="18" t="s">
        <v>1470</v>
      </c>
      <c r="N274" s="12" t="s">
        <v>1471</v>
      </c>
    </row>
    <row r="275" spans="1:14" ht="28.5" x14ac:dyDescent="0.35">
      <c r="A275" s="12" t="s">
        <v>1472</v>
      </c>
      <c r="B275" s="18" t="s">
        <v>1473</v>
      </c>
      <c r="C275" s="12" t="s">
        <v>122</v>
      </c>
      <c r="D275" s="12" t="s">
        <v>33</v>
      </c>
      <c r="E275" s="12"/>
      <c r="F275" s="12" t="s">
        <v>55</v>
      </c>
      <c r="G275" s="12" t="s">
        <v>56</v>
      </c>
      <c r="H275" s="12" t="s">
        <v>259</v>
      </c>
      <c r="I275" s="12" t="s">
        <v>1474</v>
      </c>
      <c r="J275" s="12" t="s">
        <v>1475</v>
      </c>
      <c r="K275" s="12" t="s">
        <v>1476</v>
      </c>
      <c r="L275" s="18" t="s">
        <v>202</v>
      </c>
      <c r="M275" s="18" t="s">
        <v>1477</v>
      </c>
      <c r="N275" s="12" t="s">
        <v>204</v>
      </c>
    </row>
    <row r="276" spans="1:14" ht="28.5" x14ac:dyDescent="0.35">
      <c r="A276" s="12" t="s">
        <v>1478</v>
      </c>
      <c r="B276" s="18" t="s">
        <v>1479</v>
      </c>
      <c r="C276" s="12" t="s">
        <v>122</v>
      </c>
      <c r="D276" s="12" t="s">
        <v>34</v>
      </c>
      <c r="E276" s="12"/>
      <c r="F276" s="12" t="s">
        <v>63</v>
      </c>
      <c r="G276" s="12" t="s">
        <v>64</v>
      </c>
      <c r="H276" s="12" t="s">
        <v>259</v>
      </c>
      <c r="I276" s="12" t="s">
        <v>1480</v>
      </c>
      <c r="J276" s="12" t="s">
        <v>1481</v>
      </c>
      <c r="K276" s="12" t="s">
        <v>1476</v>
      </c>
      <c r="L276" s="18" t="s">
        <v>216</v>
      </c>
      <c r="M276" s="18" t="s">
        <v>1482</v>
      </c>
      <c r="N276" s="12" t="s">
        <v>1483</v>
      </c>
    </row>
    <row r="277" spans="1:14" ht="28.5" x14ac:dyDescent="0.35">
      <c r="A277" s="12" t="s">
        <v>1484</v>
      </c>
      <c r="B277" s="18" t="s">
        <v>1485</v>
      </c>
      <c r="C277" s="12" t="s">
        <v>122</v>
      </c>
      <c r="D277" s="12" t="s">
        <v>34</v>
      </c>
      <c r="E277" s="12"/>
      <c r="F277" s="12" t="s">
        <v>63</v>
      </c>
      <c r="G277" s="12" t="s">
        <v>64</v>
      </c>
      <c r="H277" s="12" t="s">
        <v>259</v>
      </c>
      <c r="I277" s="12" t="s">
        <v>1486</v>
      </c>
      <c r="J277" s="12" t="s">
        <v>1487</v>
      </c>
      <c r="K277" s="12" t="s">
        <v>1488</v>
      </c>
      <c r="L277" s="18" t="s">
        <v>216</v>
      </c>
      <c r="M277" s="18" t="s">
        <v>1489</v>
      </c>
      <c r="N277" s="12" t="s">
        <v>1490</v>
      </c>
    </row>
    <row r="278" spans="1:14" ht="42.5" x14ac:dyDescent="0.35">
      <c r="A278" s="12" t="s">
        <v>1491</v>
      </c>
      <c r="B278" s="18" t="s">
        <v>1492</v>
      </c>
      <c r="C278" s="12" t="s">
        <v>122</v>
      </c>
      <c r="D278" s="12" t="s">
        <v>34</v>
      </c>
      <c r="E278" s="12"/>
      <c r="F278" s="12" t="s">
        <v>63</v>
      </c>
      <c r="G278" s="12" t="s">
        <v>64</v>
      </c>
      <c r="H278" s="12" t="s">
        <v>259</v>
      </c>
      <c r="I278" s="12" t="s">
        <v>1493</v>
      </c>
      <c r="J278" s="12" t="s">
        <v>1494</v>
      </c>
      <c r="K278" s="12" t="s">
        <v>1488</v>
      </c>
      <c r="L278" s="18" t="s">
        <v>216</v>
      </c>
      <c r="M278" s="18" t="s">
        <v>1495</v>
      </c>
      <c r="N278" s="12" t="s">
        <v>1496</v>
      </c>
    </row>
    <row r="279" spans="1:14" ht="42.5" x14ac:dyDescent="0.35">
      <c r="A279" s="12" t="s">
        <v>1497</v>
      </c>
      <c r="B279" s="18" t="s">
        <v>1498</v>
      </c>
      <c r="C279" s="12" t="s">
        <v>122</v>
      </c>
      <c r="D279" s="12" t="s">
        <v>34</v>
      </c>
      <c r="E279" s="12"/>
      <c r="F279" s="12" t="s">
        <v>63</v>
      </c>
      <c r="G279" s="12" t="s">
        <v>64</v>
      </c>
      <c r="H279" s="12" t="s">
        <v>259</v>
      </c>
      <c r="I279" s="12" t="s">
        <v>1499</v>
      </c>
      <c r="J279" s="12" t="s">
        <v>1487</v>
      </c>
      <c r="K279" s="12" t="s">
        <v>1488</v>
      </c>
      <c r="L279" s="18" t="s">
        <v>216</v>
      </c>
      <c r="M279" s="18" t="s">
        <v>1500</v>
      </c>
      <c r="N279" s="12" t="s">
        <v>1501</v>
      </c>
    </row>
    <row r="280" spans="1:14" ht="28.5" x14ac:dyDescent="0.35">
      <c r="A280" s="12" t="s">
        <v>1502</v>
      </c>
      <c r="B280" s="18" t="s">
        <v>1503</v>
      </c>
      <c r="C280" s="12" t="s">
        <v>122</v>
      </c>
      <c r="D280" s="12" t="s">
        <v>33</v>
      </c>
      <c r="E280" s="12"/>
      <c r="F280" s="12" t="s">
        <v>55</v>
      </c>
      <c r="G280" s="12" t="s">
        <v>56</v>
      </c>
      <c r="H280" s="12" t="s">
        <v>259</v>
      </c>
      <c r="I280" s="12" t="s">
        <v>1504</v>
      </c>
      <c r="J280" s="12" t="s">
        <v>1505</v>
      </c>
      <c r="K280" s="12" t="s">
        <v>1488</v>
      </c>
      <c r="L280" s="18" t="s">
        <v>202</v>
      </c>
      <c r="M280" s="18" t="s">
        <v>1506</v>
      </c>
      <c r="N280" s="12" t="s">
        <v>204</v>
      </c>
    </row>
    <row r="281" spans="1:14" x14ac:dyDescent="0.35">
      <c r="A281" s="12" t="s">
        <v>1507</v>
      </c>
      <c r="B281" s="18" t="s">
        <v>1508</v>
      </c>
      <c r="C281" s="12" t="s">
        <v>122</v>
      </c>
      <c r="D281" s="12" t="s">
        <v>33</v>
      </c>
      <c r="E281" s="12"/>
      <c r="F281" s="12" t="s">
        <v>57</v>
      </c>
      <c r="G281" s="12" t="s">
        <v>58</v>
      </c>
      <c r="H281" s="12" t="s">
        <v>259</v>
      </c>
      <c r="I281" s="12" t="s">
        <v>1509</v>
      </c>
      <c r="J281" s="12" t="s">
        <v>1510</v>
      </c>
      <c r="K281" s="12" t="s">
        <v>1511</v>
      </c>
      <c r="L281" s="18" t="s">
        <v>209</v>
      </c>
      <c r="M281" s="18" t="s">
        <v>1512</v>
      </c>
      <c r="N281" s="12" t="s">
        <v>1513</v>
      </c>
    </row>
    <row r="282" spans="1:14" ht="28.5" x14ac:dyDescent="0.35">
      <c r="A282" s="12" t="s">
        <v>1514</v>
      </c>
      <c r="B282" s="18" t="s">
        <v>1515</v>
      </c>
      <c r="C282" s="12" t="s">
        <v>122</v>
      </c>
      <c r="D282" s="12" t="s">
        <v>33</v>
      </c>
      <c r="E282" s="12"/>
      <c r="F282" s="12" t="s">
        <v>61</v>
      </c>
      <c r="G282" s="12" t="s">
        <v>62</v>
      </c>
      <c r="H282" s="12" t="s">
        <v>198</v>
      </c>
      <c r="I282" s="12" t="s">
        <v>1516</v>
      </c>
      <c r="J282" s="12" t="s">
        <v>1517</v>
      </c>
      <c r="K282" s="12" t="s">
        <v>1511</v>
      </c>
      <c r="L282" s="18" t="s">
        <v>694</v>
      </c>
      <c r="M282" s="18" t="s">
        <v>1518</v>
      </c>
      <c r="N282" s="12" t="s">
        <v>1519</v>
      </c>
    </row>
    <row r="283" spans="1:14" x14ac:dyDescent="0.35">
      <c r="A283" s="12" t="s">
        <v>1520</v>
      </c>
      <c r="B283" s="18" t="s">
        <v>1521</v>
      </c>
      <c r="C283" s="12" t="s">
        <v>122</v>
      </c>
      <c r="D283" s="12" t="s">
        <v>33</v>
      </c>
      <c r="E283" s="12"/>
      <c r="F283" s="12" t="s">
        <v>61</v>
      </c>
      <c r="G283" s="12" t="s">
        <v>62</v>
      </c>
      <c r="H283" s="12" t="s">
        <v>239</v>
      </c>
      <c r="I283" s="12" t="s">
        <v>1522</v>
      </c>
      <c r="J283" s="12" t="s">
        <v>1523</v>
      </c>
      <c r="K283" s="12" t="s">
        <v>1511</v>
      </c>
      <c r="L283" s="18" t="s">
        <v>202</v>
      </c>
      <c r="M283" s="18" t="s">
        <v>1524</v>
      </c>
      <c r="N283" s="12" t="s">
        <v>204</v>
      </c>
    </row>
    <row r="284" spans="1:14" ht="42.5" x14ac:dyDescent="0.35">
      <c r="A284" s="12" t="s">
        <v>1525</v>
      </c>
      <c r="B284" s="18" t="s">
        <v>1526</v>
      </c>
      <c r="C284" s="12" t="s">
        <v>122</v>
      </c>
      <c r="D284" s="12" t="s">
        <v>34</v>
      </c>
      <c r="E284" s="12"/>
      <c r="F284" s="12" t="s">
        <v>65</v>
      </c>
      <c r="G284" s="12" t="s">
        <v>66</v>
      </c>
      <c r="H284" s="12" t="s">
        <v>386</v>
      </c>
      <c r="I284" s="12" t="s">
        <v>1527</v>
      </c>
      <c r="J284" s="12" t="s">
        <v>1528</v>
      </c>
      <c r="K284" s="12" t="s">
        <v>1511</v>
      </c>
      <c r="L284" s="18" t="s">
        <v>202</v>
      </c>
      <c r="M284" s="18" t="s">
        <v>468</v>
      </c>
      <c r="N284" s="12" t="s">
        <v>204</v>
      </c>
    </row>
    <row r="285" spans="1:14" x14ac:dyDescent="0.35">
      <c r="A285" s="12" t="s">
        <v>1529</v>
      </c>
      <c r="B285" s="18" t="s">
        <v>1530</v>
      </c>
      <c r="C285" s="12" t="s">
        <v>122</v>
      </c>
      <c r="D285" s="12" t="s">
        <v>33</v>
      </c>
      <c r="E285" s="12"/>
      <c r="F285" s="12" t="s">
        <v>53</v>
      </c>
      <c r="G285" s="12" t="s">
        <v>54</v>
      </c>
      <c r="H285" s="12" t="s">
        <v>198</v>
      </c>
      <c r="I285" s="12" t="s">
        <v>1531</v>
      </c>
      <c r="J285" s="12" t="s">
        <v>1532</v>
      </c>
      <c r="K285" s="12" t="s">
        <v>1511</v>
      </c>
      <c r="L285" s="18" t="s">
        <v>209</v>
      </c>
      <c r="M285" s="18" t="s">
        <v>1533</v>
      </c>
      <c r="N285" s="12" t="s">
        <v>1534</v>
      </c>
    </row>
    <row r="286" spans="1:14" ht="28.5" x14ac:dyDescent="0.35">
      <c r="A286" s="12" t="s">
        <v>1535</v>
      </c>
      <c r="B286" s="18" t="s">
        <v>1536</v>
      </c>
      <c r="C286" s="12" t="s">
        <v>122</v>
      </c>
      <c r="D286" s="12" t="s">
        <v>34</v>
      </c>
      <c r="E286" s="12"/>
      <c r="F286" s="12" t="s">
        <v>63</v>
      </c>
      <c r="G286" s="12" t="s">
        <v>64</v>
      </c>
      <c r="H286" s="12" t="s">
        <v>198</v>
      </c>
      <c r="I286" s="12" t="s">
        <v>1537</v>
      </c>
      <c r="J286" s="12" t="s">
        <v>1538</v>
      </c>
      <c r="K286" s="12" t="s">
        <v>1511</v>
      </c>
      <c r="L286" s="18" t="s">
        <v>216</v>
      </c>
      <c r="M286" s="18" t="s">
        <v>1539</v>
      </c>
      <c r="N286" s="12" t="s">
        <v>1540</v>
      </c>
    </row>
    <row r="287" spans="1:14" ht="42.5" x14ac:dyDescent="0.35">
      <c r="A287" s="12" t="s">
        <v>1541</v>
      </c>
      <c r="B287" s="18" t="s">
        <v>1542</v>
      </c>
      <c r="C287" s="12" t="s">
        <v>122</v>
      </c>
      <c r="D287" s="12" t="s">
        <v>33</v>
      </c>
      <c r="E287" s="12"/>
      <c r="F287" s="12" t="s">
        <v>67</v>
      </c>
      <c r="G287" s="12" t="s">
        <v>68</v>
      </c>
      <c r="H287" s="12" t="s">
        <v>198</v>
      </c>
      <c r="I287" s="12" t="s">
        <v>1543</v>
      </c>
      <c r="J287" s="12" t="s">
        <v>1544</v>
      </c>
      <c r="K287" s="12" t="s">
        <v>1511</v>
      </c>
      <c r="L287" s="18" t="s">
        <v>202</v>
      </c>
      <c r="M287" s="18" t="s">
        <v>473</v>
      </c>
      <c r="N287" s="12" t="s">
        <v>204</v>
      </c>
    </row>
    <row r="288" spans="1:14" x14ac:dyDescent="0.35">
      <c r="A288" s="12" t="s">
        <v>1545</v>
      </c>
      <c r="B288" s="18" t="s">
        <v>1546</v>
      </c>
      <c r="C288" s="12" t="s">
        <v>122</v>
      </c>
      <c r="D288" s="12" t="s">
        <v>33</v>
      </c>
      <c r="E288" s="12"/>
      <c r="F288" s="12" t="s">
        <v>61</v>
      </c>
      <c r="G288" s="12" t="s">
        <v>62</v>
      </c>
      <c r="H288" s="12" t="s">
        <v>259</v>
      </c>
      <c r="I288" s="12" t="s">
        <v>1547</v>
      </c>
      <c r="J288" s="12" t="s">
        <v>1548</v>
      </c>
      <c r="K288" s="12" t="s">
        <v>1511</v>
      </c>
      <c r="L288" s="18" t="s">
        <v>202</v>
      </c>
      <c r="M288" s="18" t="s">
        <v>318</v>
      </c>
      <c r="N288" s="12" t="s">
        <v>204</v>
      </c>
    </row>
    <row r="289" spans="1:14" ht="28.5" x14ac:dyDescent="0.35">
      <c r="A289" s="12" t="s">
        <v>1549</v>
      </c>
      <c r="B289" s="18" t="s">
        <v>1550</v>
      </c>
      <c r="C289" s="12" t="s">
        <v>122</v>
      </c>
      <c r="D289" s="12" t="s">
        <v>33</v>
      </c>
      <c r="E289" s="12"/>
      <c r="F289" s="12" t="s">
        <v>57</v>
      </c>
      <c r="G289" s="12" t="s">
        <v>58</v>
      </c>
      <c r="H289" s="12" t="s">
        <v>198</v>
      </c>
      <c r="I289" s="12" t="s">
        <v>1551</v>
      </c>
      <c r="J289" s="12" t="s">
        <v>1552</v>
      </c>
      <c r="K289" s="12" t="s">
        <v>1511</v>
      </c>
      <c r="L289" s="18" t="s">
        <v>202</v>
      </c>
      <c r="M289" s="18" t="s">
        <v>952</v>
      </c>
      <c r="N289" s="12" t="s">
        <v>204</v>
      </c>
    </row>
    <row r="290" spans="1:14" ht="28.5" x14ac:dyDescent="0.35">
      <c r="A290" s="12" t="s">
        <v>1553</v>
      </c>
      <c r="B290" s="18" t="s">
        <v>1554</v>
      </c>
      <c r="C290" s="12" t="s">
        <v>122</v>
      </c>
      <c r="D290" s="12" t="s">
        <v>33</v>
      </c>
      <c r="E290" s="12"/>
      <c r="F290" s="12" t="s">
        <v>57</v>
      </c>
      <c r="G290" s="12" t="s">
        <v>58</v>
      </c>
      <c r="H290" s="12" t="s">
        <v>198</v>
      </c>
      <c r="I290" s="12" t="s">
        <v>1555</v>
      </c>
      <c r="J290" s="12" t="s">
        <v>1556</v>
      </c>
      <c r="K290" s="12" t="s">
        <v>1511</v>
      </c>
      <c r="L290" s="18" t="s">
        <v>202</v>
      </c>
      <c r="M290" s="18" t="s">
        <v>414</v>
      </c>
      <c r="N290" s="12" t="s">
        <v>204</v>
      </c>
    </row>
    <row r="291" spans="1:14" ht="28.5" x14ac:dyDescent="0.35">
      <c r="A291" s="12" t="s">
        <v>1557</v>
      </c>
      <c r="B291" s="18" t="s">
        <v>1558</v>
      </c>
      <c r="C291" s="12" t="s">
        <v>122</v>
      </c>
      <c r="D291" s="12" t="s">
        <v>33</v>
      </c>
      <c r="E291" s="12"/>
      <c r="F291" s="12" t="s">
        <v>57</v>
      </c>
      <c r="G291" s="12" t="s">
        <v>58</v>
      </c>
      <c r="H291" s="12" t="s">
        <v>239</v>
      </c>
      <c r="I291" s="12" t="s">
        <v>1559</v>
      </c>
      <c r="J291" s="12" t="s">
        <v>1560</v>
      </c>
      <c r="K291" s="12" t="s">
        <v>1511</v>
      </c>
      <c r="L291" s="18" t="s">
        <v>202</v>
      </c>
      <c r="M291" s="18" t="s">
        <v>1561</v>
      </c>
      <c r="N291" s="12" t="s">
        <v>204</v>
      </c>
    </row>
    <row r="292" spans="1:14" x14ac:dyDescent="0.35">
      <c r="A292" s="12" t="s">
        <v>1562</v>
      </c>
      <c r="B292" s="18" t="s">
        <v>1563</v>
      </c>
      <c r="C292" s="12" t="s">
        <v>122</v>
      </c>
      <c r="D292" s="12" t="s">
        <v>33</v>
      </c>
      <c r="E292" s="12"/>
      <c r="F292" s="12" t="s">
        <v>59</v>
      </c>
      <c r="G292" s="12" t="s">
        <v>60</v>
      </c>
      <c r="H292" s="12" t="s">
        <v>198</v>
      </c>
      <c r="I292" s="12" t="s">
        <v>1564</v>
      </c>
      <c r="J292" s="12" t="s">
        <v>1565</v>
      </c>
      <c r="K292" s="12" t="s">
        <v>1511</v>
      </c>
      <c r="L292" s="18" t="s">
        <v>202</v>
      </c>
      <c r="M292" s="18" t="s">
        <v>313</v>
      </c>
      <c r="N292" s="12" t="s">
        <v>204</v>
      </c>
    </row>
    <row r="293" spans="1:14" ht="28.5" x14ac:dyDescent="0.35">
      <c r="A293" s="12" t="s">
        <v>1566</v>
      </c>
      <c r="B293" s="18" t="s">
        <v>1567</v>
      </c>
      <c r="C293" s="12" t="s">
        <v>122</v>
      </c>
      <c r="D293" s="12" t="s">
        <v>33</v>
      </c>
      <c r="E293" s="12"/>
      <c r="F293" s="12" t="s">
        <v>53</v>
      </c>
      <c r="G293" s="12" t="s">
        <v>54</v>
      </c>
      <c r="H293" s="12" t="s">
        <v>239</v>
      </c>
      <c r="I293" s="12" t="s">
        <v>1568</v>
      </c>
      <c r="J293" s="12" t="s">
        <v>1569</v>
      </c>
      <c r="K293" s="12" t="s">
        <v>1511</v>
      </c>
      <c r="L293" s="18" t="s">
        <v>202</v>
      </c>
      <c r="M293" s="18" t="s">
        <v>1570</v>
      </c>
      <c r="N293" s="12" t="s">
        <v>204</v>
      </c>
    </row>
    <row r="294" spans="1:14" ht="42.5" x14ac:dyDescent="0.35">
      <c r="A294" s="18" t="s">
        <v>2726</v>
      </c>
      <c r="B294" s="18" t="s">
        <v>2727</v>
      </c>
      <c r="C294" s="12" t="s">
        <v>122</v>
      </c>
      <c r="D294" s="18" t="s">
        <v>34</v>
      </c>
      <c r="E294" s="18"/>
      <c r="F294" s="12" t="s">
        <v>65</v>
      </c>
      <c r="G294" s="12" t="s">
        <v>66</v>
      </c>
      <c r="H294" s="12" t="s">
        <v>198</v>
      </c>
      <c r="I294" s="12" t="s">
        <v>1573</v>
      </c>
      <c r="J294" s="12" t="s">
        <v>1574</v>
      </c>
      <c r="K294" s="12" t="s">
        <v>1575</v>
      </c>
      <c r="L294" s="12" t="s">
        <v>216</v>
      </c>
      <c r="M294" s="18" t="s">
        <v>4727</v>
      </c>
      <c r="N294" s="18" t="s">
        <v>4728</v>
      </c>
    </row>
    <row r="295" spans="1:14" ht="28.5" x14ac:dyDescent="0.35">
      <c r="A295" s="12" t="s">
        <v>1571</v>
      </c>
      <c r="B295" s="18" t="s">
        <v>1572</v>
      </c>
      <c r="C295" s="12" t="s">
        <v>122</v>
      </c>
      <c r="D295" s="12" t="s">
        <v>33</v>
      </c>
      <c r="E295" s="12"/>
      <c r="F295" s="12" t="s">
        <v>77</v>
      </c>
      <c r="G295" s="12" t="s">
        <v>78</v>
      </c>
      <c r="H295" s="12" t="s">
        <v>259</v>
      </c>
      <c r="I295" s="12" t="s">
        <v>1573</v>
      </c>
      <c r="J295" s="12" t="s">
        <v>1574</v>
      </c>
      <c r="K295" s="12" t="s">
        <v>1575</v>
      </c>
      <c r="L295" s="18" t="s">
        <v>209</v>
      </c>
      <c r="M295" s="18" t="s">
        <v>1576</v>
      </c>
      <c r="N295" s="12" t="s">
        <v>1577</v>
      </c>
    </row>
    <row r="296" spans="1:14" ht="42.5" x14ac:dyDescent="0.35">
      <c r="A296" s="12" t="s">
        <v>1578</v>
      </c>
      <c r="B296" s="18" t="s">
        <v>1579</v>
      </c>
      <c r="C296" s="12" t="s">
        <v>122</v>
      </c>
      <c r="D296" s="12" t="s">
        <v>34</v>
      </c>
      <c r="E296" s="12"/>
      <c r="F296" s="12" t="s">
        <v>63</v>
      </c>
      <c r="G296" s="12" t="s">
        <v>64</v>
      </c>
      <c r="H296" s="12" t="s">
        <v>259</v>
      </c>
      <c r="I296" s="12" t="s">
        <v>1580</v>
      </c>
      <c r="J296" s="12" t="s">
        <v>1581</v>
      </c>
      <c r="K296" s="12" t="s">
        <v>1575</v>
      </c>
      <c r="L296" s="18" t="s">
        <v>202</v>
      </c>
      <c r="M296" s="18" t="s">
        <v>1582</v>
      </c>
      <c r="N296" s="12" t="s">
        <v>1583</v>
      </c>
    </row>
    <row r="297" spans="1:14" ht="28.5" x14ac:dyDescent="0.35">
      <c r="A297" s="12" t="s">
        <v>1584</v>
      </c>
      <c r="B297" s="18" t="s">
        <v>1585</v>
      </c>
      <c r="C297" s="12" t="s">
        <v>122</v>
      </c>
      <c r="D297" s="12" t="s">
        <v>33</v>
      </c>
      <c r="E297" s="12"/>
      <c r="F297" s="12" t="s">
        <v>65</v>
      </c>
      <c r="G297" s="12" t="s">
        <v>66</v>
      </c>
      <c r="H297" s="12" t="s">
        <v>259</v>
      </c>
      <c r="I297" s="12" t="s">
        <v>1586</v>
      </c>
      <c r="J297" s="12" t="s">
        <v>1587</v>
      </c>
      <c r="K297" s="12" t="s">
        <v>1575</v>
      </c>
      <c r="L297" s="18" t="s">
        <v>202</v>
      </c>
      <c r="M297" s="18" t="s">
        <v>468</v>
      </c>
      <c r="N297" s="12" t="s">
        <v>204</v>
      </c>
    </row>
    <row r="298" spans="1:14" ht="28.5" x14ac:dyDescent="0.35">
      <c r="A298" s="12" t="s">
        <v>1588</v>
      </c>
      <c r="B298" s="18" t="s">
        <v>1589</v>
      </c>
      <c r="C298" s="12" t="s">
        <v>122</v>
      </c>
      <c r="D298" s="12" t="s">
        <v>33</v>
      </c>
      <c r="E298" s="12"/>
      <c r="F298" s="12" t="s">
        <v>59</v>
      </c>
      <c r="G298" s="12" t="s">
        <v>60</v>
      </c>
      <c r="H298" s="12" t="s">
        <v>198</v>
      </c>
      <c r="I298" s="12" t="s">
        <v>1590</v>
      </c>
      <c r="J298" s="12" t="s">
        <v>1591</v>
      </c>
      <c r="K298" s="12" t="s">
        <v>1575</v>
      </c>
      <c r="L298" s="18" t="s">
        <v>202</v>
      </c>
      <c r="M298" s="18" t="s">
        <v>1592</v>
      </c>
      <c r="N298" s="12" t="s">
        <v>204</v>
      </c>
    </row>
    <row r="299" spans="1:14" ht="28.5" x14ac:dyDescent="0.35">
      <c r="A299" s="12" t="s">
        <v>1593</v>
      </c>
      <c r="B299" s="18" t="s">
        <v>1594</v>
      </c>
      <c r="C299" s="12" t="s">
        <v>122</v>
      </c>
      <c r="D299" s="12" t="s">
        <v>33</v>
      </c>
      <c r="E299" s="12"/>
      <c r="F299" s="12" t="s">
        <v>53</v>
      </c>
      <c r="G299" s="12" t="s">
        <v>54</v>
      </c>
      <c r="H299" s="12" t="s">
        <v>198</v>
      </c>
      <c r="I299" s="12" t="s">
        <v>1595</v>
      </c>
      <c r="J299" s="12" t="s">
        <v>1596</v>
      </c>
      <c r="K299" s="12" t="s">
        <v>1575</v>
      </c>
      <c r="L299" s="18" t="s">
        <v>202</v>
      </c>
      <c r="M299" s="18" t="s">
        <v>1597</v>
      </c>
      <c r="N299" s="12" t="s">
        <v>204</v>
      </c>
    </row>
    <row r="300" spans="1:14" x14ac:dyDescent="0.35">
      <c r="A300" s="12" t="s">
        <v>1598</v>
      </c>
      <c r="B300" s="18" t="s">
        <v>1599</v>
      </c>
      <c r="C300" s="12" t="s">
        <v>122</v>
      </c>
      <c r="D300" s="12" t="s">
        <v>33</v>
      </c>
      <c r="E300" s="12"/>
      <c r="F300" s="12" t="s">
        <v>55</v>
      </c>
      <c r="G300" s="12" t="s">
        <v>56</v>
      </c>
      <c r="H300" s="12" t="s">
        <v>259</v>
      </c>
      <c r="I300" s="12" t="s">
        <v>1600</v>
      </c>
      <c r="J300" s="12" t="s">
        <v>1601</v>
      </c>
      <c r="K300" s="12" t="s">
        <v>1602</v>
      </c>
      <c r="L300" s="18" t="s">
        <v>209</v>
      </c>
      <c r="M300" s="18" t="s">
        <v>1603</v>
      </c>
      <c r="N300" s="12" t="s">
        <v>1604</v>
      </c>
    </row>
    <row r="301" spans="1:14" ht="42.5" x14ac:dyDescent="0.35">
      <c r="A301" s="12" t="s">
        <v>1605</v>
      </c>
      <c r="B301" s="18" t="s">
        <v>1606</v>
      </c>
      <c r="C301" s="12" t="s">
        <v>122</v>
      </c>
      <c r="D301" s="12" t="s">
        <v>33</v>
      </c>
      <c r="E301" s="12"/>
      <c r="F301" s="12" t="s">
        <v>55</v>
      </c>
      <c r="G301" s="12" t="s">
        <v>56</v>
      </c>
      <c r="H301" s="12" t="s">
        <v>198</v>
      </c>
      <c r="I301" s="12" t="s">
        <v>1607</v>
      </c>
      <c r="J301" s="12" t="s">
        <v>1608</v>
      </c>
      <c r="K301" s="12" t="s">
        <v>1602</v>
      </c>
      <c r="L301" s="18" t="s">
        <v>209</v>
      </c>
      <c r="M301" s="18" t="s">
        <v>1609</v>
      </c>
      <c r="N301" s="12" t="s">
        <v>1610</v>
      </c>
    </row>
    <row r="302" spans="1:14" x14ac:dyDescent="0.35">
      <c r="A302" s="12" t="s">
        <v>1611</v>
      </c>
      <c r="B302" s="18" t="s">
        <v>1612</v>
      </c>
      <c r="C302" s="12" t="s">
        <v>122</v>
      </c>
      <c r="D302" s="12" t="s">
        <v>33</v>
      </c>
      <c r="E302" s="12"/>
      <c r="F302" s="12" t="s">
        <v>67</v>
      </c>
      <c r="G302" s="12" t="s">
        <v>68</v>
      </c>
      <c r="H302" s="12" t="s">
        <v>198</v>
      </c>
      <c r="I302" s="12" t="s">
        <v>1613</v>
      </c>
      <c r="J302" s="12" t="s">
        <v>1614</v>
      </c>
      <c r="K302" s="12" t="s">
        <v>1615</v>
      </c>
      <c r="L302" s="18" t="s">
        <v>209</v>
      </c>
      <c r="M302" s="18" t="s">
        <v>1616</v>
      </c>
      <c r="N302" s="12" t="s">
        <v>1617</v>
      </c>
    </row>
    <row r="303" spans="1:14" ht="28.5" x14ac:dyDescent="0.35">
      <c r="A303" s="12" t="s">
        <v>1618</v>
      </c>
      <c r="B303" s="18" t="s">
        <v>1619</v>
      </c>
      <c r="C303" s="12" t="s">
        <v>122</v>
      </c>
      <c r="D303" s="12" t="s">
        <v>33</v>
      </c>
      <c r="E303" s="12"/>
      <c r="F303" s="12" t="s">
        <v>53</v>
      </c>
      <c r="G303" s="12" t="s">
        <v>54</v>
      </c>
      <c r="H303" s="12" t="s">
        <v>259</v>
      </c>
      <c r="I303" s="12" t="s">
        <v>1620</v>
      </c>
      <c r="J303" s="12" t="s">
        <v>1621</v>
      </c>
      <c r="K303" s="12" t="s">
        <v>1615</v>
      </c>
      <c r="L303" s="18" t="s">
        <v>202</v>
      </c>
      <c r="M303" s="18" t="s">
        <v>229</v>
      </c>
      <c r="N303" s="12" t="s">
        <v>204</v>
      </c>
    </row>
    <row r="304" spans="1:14" x14ac:dyDescent="0.35">
      <c r="A304" s="12" t="s">
        <v>1622</v>
      </c>
      <c r="B304" s="18" t="s">
        <v>1623</v>
      </c>
      <c r="C304" s="12" t="s">
        <v>122</v>
      </c>
      <c r="D304" s="12" t="s">
        <v>33</v>
      </c>
      <c r="E304" s="12"/>
      <c r="F304" s="12" t="s">
        <v>61</v>
      </c>
      <c r="G304" s="12" t="s">
        <v>62</v>
      </c>
      <c r="H304" s="12" t="s">
        <v>198</v>
      </c>
      <c r="I304" s="12" t="s">
        <v>1624</v>
      </c>
      <c r="J304" s="12" t="s">
        <v>1625</v>
      </c>
      <c r="K304" s="12" t="s">
        <v>1615</v>
      </c>
      <c r="L304" s="18" t="s">
        <v>209</v>
      </c>
      <c r="M304" s="18" t="s">
        <v>1626</v>
      </c>
      <c r="N304" s="12" t="s">
        <v>1627</v>
      </c>
    </row>
    <row r="305" spans="1:14" ht="42.5" x14ac:dyDescent="0.35">
      <c r="A305" s="12" t="s">
        <v>1628</v>
      </c>
      <c r="B305" s="18" t="s">
        <v>1629</v>
      </c>
      <c r="C305" s="12" t="s">
        <v>122</v>
      </c>
      <c r="D305" s="12" t="s">
        <v>33</v>
      </c>
      <c r="E305" s="12"/>
      <c r="F305" s="12" t="s">
        <v>57</v>
      </c>
      <c r="G305" s="12" t="s">
        <v>58</v>
      </c>
      <c r="H305" s="12" t="s">
        <v>198</v>
      </c>
      <c r="I305" s="12" t="s">
        <v>1630</v>
      </c>
      <c r="J305" s="12" t="s">
        <v>1631</v>
      </c>
      <c r="K305" s="12" t="s">
        <v>1632</v>
      </c>
      <c r="L305" s="18" t="s">
        <v>209</v>
      </c>
      <c r="M305" s="18" t="s">
        <v>1633</v>
      </c>
      <c r="N305" s="12" t="s">
        <v>1634</v>
      </c>
    </row>
    <row r="306" spans="1:14" ht="28.5" x14ac:dyDescent="0.35">
      <c r="A306" s="12" t="s">
        <v>1645</v>
      </c>
      <c r="B306" s="18" t="s">
        <v>1646</v>
      </c>
      <c r="C306" s="12" t="s">
        <v>122</v>
      </c>
      <c r="D306" s="12" t="s">
        <v>33</v>
      </c>
      <c r="E306" s="12"/>
      <c r="F306" s="12" t="s">
        <v>61</v>
      </c>
      <c r="G306" s="12" t="s">
        <v>62</v>
      </c>
      <c r="H306" s="12" t="s">
        <v>239</v>
      </c>
      <c r="I306" s="12" t="s">
        <v>1647</v>
      </c>
      <c r="J306" s="12" t="s">
        <v>1648</v>
      </c>
      <c r="K306" s="12" t="s">
        <v>1632</v>
      </c>
      <c r="L306" s="18" t="s">
        <v>202</v>
      </c>
      <c r="M306" s="18" t="s">
        <v>1649</v>
      </c>
      <c r="N306" s="12" t="s">
        <v>204</v>
      </c>
    </row>
    <row r="307" spans="1:14" ht="28.5" x14ac:dyDescent="0.35">
      <c r="A307" s="12" t="s">
        <v>1650</v>
      </c>
      <c r="B307" s="18" t="s">
        <v>1651</v>
      </c>
      <c r="C307" s="12" t="s">
        <v>122</v>
      </c>
      <c r="D307" s="12" t="s">
        <v>33</v>
      </c>
      <c r="E307" s="12"/>
      <c r="F307" s="12" t="s">
        <v>57</v>
      </c>
      <c r="G307" s="12" t="s">
        <v>58</v>
      </c>
      <c r="H307" s="12" t="s">
        <v>259</v>
      </c>
      <c r="I307" s="12" t="s">
        <v>1637</v>
      </c>
      <c r="J307" s="12" t="s">
        <v>1652</v>
      </c>
      <c r="K307" s="12" t="s">
        <v>1632</v>
      </c>
      <c r="L307" s="18" t="s">
        <v>202</v>
      </c>
      <c r="M307" s="18" t="s">
        <v>1653</v>
      </c>
      <c r="N307" s="12" t="s">
        <v>204</v>
      </c>
    </row>
    <row r="308" spans="1:14" x14ac:dyDescent="0.35">
      <c r="A308" s="12" t="s">
        <v>1654</v>
      </c>
      <c r="B308" s="18" t="s">
        <v>1655</v>
      </c>
      <c r="C308" s="12" t="s">
        <v>122</v>
      </c>
      <c r="D308" s="12" t="s">
        <v>33</v>
      </c>
      <c r="E308" s="12"/>
      <c r="F308" s="12" t="s">
        <v>55</v>
      </c>
      <c r="G308" s="12" t="s">
        <v>56</v>
      </c>
      <c r="H308" s="12" t="s">
        <v>259</v>
      </c>
      <c r="I308" s="12" t="s">
        <v>1656</v>
      </c>
      <c r="J308" s="12" t="s">
        <v>1657</v>
      </c>
      <c r="K308" s="12" t="s">
        <v>1632</v>
      </c>
      <c r="L308" s="18" t="s">
        <v>202</v>
      </c>
      <c r="M308" s="18" t="s">
        <v>371</v>
      </c>
      <c r="N308" s="12" t="s">
        <v>204</v>
      </c>
    </row>
    <row r="309" spans="1:14" ht="28.5" x14ac:dyDescent="0.35">
      <c r="A309" s="12" t="s">
        <v>1658</v>
      </c>
      <c r="B309" s="18" t="s">
        <v>1659</v>
      </c>
      <c r="C309" s="12" t="s">
        <v>122</v>
      </c>
      <c r="D309" s="12" t="s">
        <v>33</v>
      </c>
      <c r="E309" s="12"/>
      <c r="F309" s="12" t="s">
        <v>55</v>
      </c>
      <c r="G309" s="12" t="s">
        <v>56</v>
      </c>
      <c r="H309" s="12" t="s">
        <v>198</v>
      </c>
      <c r="I309" s="12" t="s">
        <v>1660</v>
      </c>
      <c r="J309" s="12" t="s">
        <v>1661</v>
      </c>
      <c r="K309" s="12" t="s">
        <v>1662</v>
      </c>
      <c r="L309" s="18" t="s">
        <v>202</v>
      </c>
      <c r="M309" s="18" t="s">
        <v>1663</v>
      </c>
      <c r="N309" s="12" t="s">
        <v>204</v>
      </c>
    </row>
    <row r="310" spans="1:14" ht="28.5" x14ac:dyDescent="0.35">
      <c r="A310" s="12" t="s">
        <v>1664</v>
      </c>
      <c r="B310" s="18" t="s">
        <v>1665</v>
      </c>
      <c r="C310" s="12" t="s">
        <v>122</v>
      </c>
      <c r="D310" s="12" t="s">
        <v>33</v>
      </c>
      <c r="E310" s="12"/>
      <c r="F310" s="12" t="s">
        <v>53</v>
      </c>
      <c r="G310" s="12" t="s">
        <v>54</v>
      </c>
      <c r="H310" s="12" t="s">
        <v>259</v>
      </c>
      <c r="I310" s="12" t="s">
        <v>1666</v>
      </c>
      <c r="J310" s="12" t="s">
        <v>1667</v>
      </c>
      <c r="K310" s="12" t="s">
        <v>1662</v>
      </c>
      <c r="L310" s="18" t="s">
        <v>202</v>
      </c>
      <c r="M310" s="18" t="s">
        <v>229</v>
      </c>
      <c r="N310" s="12" t="s">
        <v>204</v>
      </c>
    </row>
    <row r="311" spans="1:14" x14ac:dyDescent="0.35">
      <c r="A311" s="12" t="s">
        <v>1668</v>
      </c>
      <c r="B311" s="18" t="s">
        <v>1669</v>
      </c>
      <c r="C311" s="12" t="s">
        <v>122</v>
      </c>
      <c r="D311" s="12" t="s">
        <v>33</v>
      </c>
      <c r="E311" s="12"/>
      <c r="F311" s="12" t="s">
        <v>57</v>
      </c>
      <c r="G311" s="12" t="s">
        <v>58</v>
      </c>
      <c r="H311" s="12" t="s">
        <v>259</v>
      </c>
      <c r="I311" s="12" t="s">
        <v>1670</v>
      </c>
      <c r="J311" s="12" t="s">
        <v>1671</v>
      </c>
      <c r="K311" s="12" t="s">
        <v>1662</v>
      </c>
      <c r="L311" s="18" t="s">
        <v>209</v>
      </c>
      <c r="M311" s="18" t="s">
        <v>1672</v>
      </c>
      <c r="N311" s="12" t="s">
        <v>1673</v>
      </c>
    </row>
    <row r="312" spans="1:14" x14ac:dyDescent="0.35">
      <c r="A312" s="12" t="s">
        <v>1674</v>
      </c>
      <c r="B312" s="18" t="s">
        <v>1675</v>
      </c>
      <c r="C312" s="12" t="s">
        <v>122</v>
      </c>
      <c r="D312" s="12" t="s">
        <v>34</v>
      </c>
      <c r="E312" s="12"/>
      <c r="F312" s="12" t="s">
        <v>85</v>
      </c>
      <c r="G312" s="12" t="s">
        <v>86</v>
      </c>
      <c r="H312" s="12" t="s">
        <v>259</v>
      </c>
      <c r="I312" s="12" t="s">
        <v>1676</v>
      </c>
      <c r="J312" s="12" t="s">
        <v>1677</v>
      </c>
      <c r="K312" s="12" t="s">
        <v>1678</v>
      </c>
      <c r="L312" s="18" t="s">
        <v>202</v>
      </c>
      <c r="M312" s="18" t="s">
        <v>1679</v>
      </c>
      <c r="N312" s="12" t="s">
        <v>204</v>
      </c>
    </row>
    <row r="313" spans="1:14" x14ac:dyDescent="0.35">
      <c r="A313" s="12" t="s">
        <v>1680</v>
      </c>
      <c r="B313" s="18" t="s">
        <v>1681</v>
      </c>
      <c r="C313" s="12" t="s">
        <v>122</v>
      </c>
      <c r="D313" s="12" t="s">
        <v>33</v>
      </c>
      <c r="E313" s="12"/>
      <c r="F313" s="12" t="s">
        <v>55</v>
      </c>
      <c r="G313" s="12" t="s">
        <v>56</v>
      </c>
      <c r="H313" s="12" t="s">
        <v>239</v>
      </c>
      <c r="I313" s="12" t="s">
        <v>1682</v>
      </c>
      <c r="J313" s="12" t="s">
        <v>1683</v>
      </c>
      <c r="K313" s="12" t="s">
        <v>1678</v>
      </c>
      <c r="L313" s="18" t="s">
        <v>202</v>
      </c>
      <c r="M313" s="18" t="s">
        <v>371</v>
      </c>
      <c r="N313" s="12" t="s">
        <v>204</v>
      </c>
    </row>
    <row r="314" spans="1:14" x14ac:dyDescent="0.35">
      <c r="A314" s="12" t="s">
        <v>1684</v>
      </c>
      <c r="B314" s="18" t="s">
        <v>1685</v>
      </c>
      <c r="C314" s="12" t="s">
        <v>122</v>
      </c>
      <c r="D314" s="12" t="s">
        <v>33</v>
      </c>
      <c r="E314" s="12"/>
      <c r="F314" s="12" t="s">
        <v>57</v>
      </c>
      <c r="G314" s="12" t="s">
        <v>58</v>
      </c>
      <c r="H314" s="12" t="s">
        <v>198</v>
      </c>
      <c r="I314" s="12" t="s">
        <v>1686</v>
      </c>
      <c r="J314" s="12" t="s">
        <v>1687</v>
      </c>
      <c r="K314" s="12" t="s">
        <v>1678</v>
      </c>
      <c r="L314" s="18" t="s">
        <v>202</v>
      </c>
      <c r="M314" s="18" t="s">
        <v>414</v>
      </c>
      <c r="N314" s="12" t="s">
        <v>204</v>
      </c>
    </row>
    <row r="315" spans="1:14" ht="28.5" x14ac:dyDescent="0.35">
      <c r="A315" s="12" t="s">
        <v>1688</v>
      </c>
      <c r="B315" s="18" t="s">
        <v>1689</v>
      </c>
      <c r="C315" s="12" t="s">
        <v>122</v>
      </c>
      <c r="D315" s="12" t="s">
        <v>33</v>
      </c>
      <c r="E315" s="12"/>
      <c r="F315" s="12" t="s">
        <v>59</v>
      </c>
      <c r="G315" s="12" t="s">
        <v>60</v>
      </c>
      <c r="H315" s="12" t="s">
        <v>198</v>
      </c>
      <c r="I315" s="12" t="s">
        <v>1690</v>
      </c>
      <c r="J315" s="12" t="s">
        <v>1691</v>
      </c>
      <c r="K315" s="12" t="s">
        <v>1678</v>
      </c>
      <c r="L315" s="18" t="s">
        <v>202</v>
      </c>
      <c r="M315" s="18" t="s">
        <v>313</v>
      </c>
      <c r="N315" s="12" t="s">
        <v>204</v>
      </c>
    </row>
    <row r="316" spans="1:14" ht="56.5" x14ac:dyDescent="0.35">
      <c r="A316" s="12" t="s">
        <v>1692</v>
      </c>
      <c r="B316" s="18" t="s">
        <v>1693</v>
      </c>
      <c r="C316" s="12" t="s">
        <v>122</v>
      </c>
      <c r="D316" s="12" t="s">
        <v>33</v>
      </c>
      <c r="E316" s="12"/>
      <c r="F316" s="12" t="s">
        <v>63</v>
      </c>
      <c r="G316" s="12" t="s">
        <v>64</v>
      </c>
      <c r="H316" s="12" t="s">
        <v>239</v>
      </c>
      <c r="I316" s="12" t="s">
        <v>1694</v>
      </c>
      <c r="J316" s="12" t="s">
        <v>1695</v>
      </c>
      <c r="K316" s="12" t="s">
        <v>1678</v>
      </c>
      <c r="L316" s="18" t="s">
        <v>209</v>
      </c>
      <c r="M316" s="18" t="s">
        <v>1696</v>
      </c>
      <c r="N316" s="12" t="s">
        <v>1697</v>
      </c>
    </row>
    <row r="317" spans="1:14" x14ac:dyDescent="0.35">
      <c r="A317" s="12" t="s">
        <v>1698</v>
      </c>
      <c r="B317" s="18" t="s">
        <v>1699</v>
      </c>
      <c r="C317" s="12" t="s">
        <v>122</v>
      </c>
      <c r="D317" s="12" t="s">
        <v>33</v>
      </c>
      <c r="E317" s="12"/>
      <c r="F317" s="12" t="s">
        <v>53</v>
      </c>
      <c r="G317" s="12" t="s">
        <v>54</v>
      </c>
      <c r="H317" s="12" t="s">
        <v>198</v>
      </c>
      <c r="I317" s="12" t="s">
        <v>1700</v>
      </c>
      <c r="J317" s="12" t="s">
        <v>1701</v>
      </c>
      <c r="K317" s="12" t="s">
        <v>1678</v>
      </c>
      <c r="L317" s="18" t="s">
        <v>202</v>
      </c>
      <c r="M317" s="18" t="s">
        <v>229</v>
      </c>
      <c r="N317" s="12" t="s">
        <v>204</v>
      </c>
    </row>
    <row r="318" spans="1:14" x14ac:dyDescent="0.35">
      <c r="A318" s="12" t="s">
        <v>1702</v>
      </c>
      <c r="B318" s="18" t="s">
        <v>1703</v>
      </c>
      <c r="C318" s="12" t="s">
        <v>122</v>
      </c>
      <c r="D318" s="12" t="s">
        <v>33</v>
      </c>
      <c r="E318" s="12"/>
      <c r="F318" s="12" t="s">
        <v>59</v>
      </c>
      <c r="G318" s="12" t="s">
        <v>60</v>
      </c>
      <c r="H318" s="12" t="s">
        <v>239</v>
      </c>
      <c r="I318" s="12" t="s">
        <v>1704</v>
      </c>
      <c r="J318" s="12" t="s">
        <v>1705</v>
      </c>
      <c r="K318" s="12" t="s">
        <v>1678</v>
      </c>
      <c r="L318" s="18" t="s">
        <v>202</v>
      </c>
      <c r="M318" s="18" t="s">
        <v>313</v>
      </c>
      <c r="N318" s="12" t="s">
        <v>204</v>
      </c>
    </row>
    <row r="319" spans="1:14" ht="28.5" x14ac:dyDescent="0.35">
      <c r="A319" s="12" t="s">
        <v>1706</v>
      </c>
      <c r="B319" s="18" t="s">
        <v>1707</v>
      </c>
      <c r="C319" s="12" t="s">
        <v>122</v>
      </c>
      <c r="D319" s="12" t="s">
        <v>33</v>
      </c>
      <c r="E319" s="12"/>
      <c r="F319" s="12" t="s">
        <v>61</v>
      </c>
      <c r="G319" s="12" t="s">
        <v>62</v>
      </c>
      <c r="H319" s="12" t="s">
        <v>259</v>
      </c>
      <c r="I319" s="12" t="s">
        <v>1708</v>
      </c>
      <c r="J319" s="12" t="s">
        <v>1709</v>
      </c>
      <c r="K319" s="12" t="s">
        <v>1678</v>
      </c>
      <c r="L319" s="18" t="s">
        <v>202</v>
      </c>
      <c r="M319" s="18" t="s">
        <v>318</v>
      </c>
      <c r="N319" s="12" t="s">
        <v>204</v>
      </c>
    </row>
    <row r="320" spans="1:14" ht="28.5" x14ac:dyDescent="0.35">
      <c r="A320" s="12" t="s">
        <v>1710</v>
      </c>
      <c r="B320" s="18" t="s">
        <v>1711</v>
      </c>
      <c r="C320" s="12" t="s">
        <v>122</v>
      </c>
      <c r="D320" s="12" t="s">
        <v>33</v>
      </c>
      <c r="E320" s="12"/>
      <c r="F320" s="12" t="s">
        <v>55</v>
      </c>
      <c r="G320" s="12" t="s">
        <v>56</v>
      </c>
      <c r="H320" s="12" t="s">
        <v>259</v>
      </c>
      <c r="I320" s="12" t="s">
        <v>1712</v>
      </c>
      <c r="J320" s="12" t="s">
        <v>1713</v>
      </c>
      <c r="K320" s="12" t="s">
        <v>1678</v>
      </c>
      <c r="L320" s="18" t="s">
        <v>202</v>
      </c>
      <c r="M320" s="18" t="s">
        <v>371</v>
      </c>
      <c r="N320" s="12" t="s">
        <v>204</v>
      </c>
    </row>
    <row r="321" spans="1:14" x14ac:dyDescent="0.35">
      <c r="A321" s="12" t="s">
        <v>1714</v>
      </c>
      <c r="B321" s="18" t="s">
        <v>1715</v>
      </c>
      <c r="C321" s="12" t="s">
        <v>122</v>
      </c>
      <c r="D321" s="12" t="s">
        <v>33</v>
      </c>
      <c r="E321" s="12"/>
      <c r="F321" s="12" t="s">
        <v>53</v>
      </c>
      <c r="G321" s="12" t="s">
        <v>54</v>
      </c>
      <c r="H321" s="12" t="s">
        <v>198</v>
      </c>
      <c r="I321" s="12" t="s">
        <v>1716</v>
      </c>
      <c r="J321" s="12" t="s">
        <v>1717</v>
      </c>
      <c r="K321" s="12" t="s">
        <v>1678</v>
      </c>
      <c r="L321" s="18" t="s">
        <v>202</v>
      </c>
      <c r="M321" s="18" t="s">
        <v>229</v>
      </c>
      <c r="N321" s="12" t="s">
        <v>204</v>
      </c>
    </row>
    <row r="322" spans="1:14" x14ac:dyDescent="0.35">
      <c r="A322" s="12" t="s">
        <v>1718</v>
      </c>
      <c r="B322" s="18" t="s">
        <v>1383</v>
      </c>
      <c r="C322" s="12" t="s">
        <v>122</v>
      </c>
      <c r="D322" s="12" t="s">
        <v>33</v>
      </c>
      <c r="E322" s="12"/>
      <c r="F322" s="12" t="s">
        <v>61</v>
      </c>
      <c r="G322" s="12" t="s">
        <v>62</v>
      </c>
      <c r="H322" s="12" t="s">
        <v>198</v>
      </c>
      <c r="I322" s="12" t="s">
        <v>1719</v>
      </c>
      <c r="J322" s="12" t="s">
        <v>1720</v>
      </c>
      <c r="K322" s="12" t="s">
        <v>1678</v>
      </c>
      <c r="L322" s="18" t="s">
        <v>202</v>
      </c>
      <c r="M322" s="18" t="s">
        <v>318</v>
      </c>
      <c r="N322" s="12" t="s">
        <v>204</v>
      </c>
    </row>
    <row r="323" spans="1:14" ht="28.5" x14ac:dyDescent="0.35">
      <c r="A323" s="12" t="s">
        <v>1721</v>
      </c>
      <c r="B323" s="18" t="s">
        <v>1722</v>
      </c>
      <c r="C323" s="12" t="s">
        <v>122</v>
      </c>
      <c r="D323" s="12" t="s">
        <v>33</v>
      </c>
      <c r="E323" s="12"/>
      <c r="F323" s="12" t="s">
        <v>53</v>
      </c>
      <c r="G323" s="12" t="s">
        <v>54</v>
      </c>
      <c r="H323" s="12" t="s">
        <v>198</v>
      </c>
      <c r="I323" s="12" t="s">
        <v>1723</v>
      </c>
      <c r="J323" s="12" t="s">
        <v>1724</v>
      </c>
      <c r="K323" s="12" t="s">
        <v>1678</v>
      </c>
      <c r="L323" s="18" t="s">
        <v>202</v>
      </c>
      <c r="M323" s="18" t="s">
        <v>1725</v>
      </c>
      <c r="N323" s="12" t="s">
        <v>204</v>
      </c>
    </row>
    <row r="324" spans="1:14" ht="28.5" x14ac:dyDescent="0.35">
      <c r="A324" s="12" t="s">
        <v>1726</v>
      </c>
      <c r="B324" s="18" t="s">
        <v>1727</v>
      </c>
      <c r="C324" s="12" t="s">
        <v>122</v>
      </c>
      <c r="D324" s="12" t="s">
        <v>33</v>
      </c>
      <c r="E324" s="12"/>
      <c r="F324" s="12" t="s">
        <v>55</v>
      </c>
      <c r="G324" s="12" t="s">
        <v>56</v>
      </c>
      <c r="H324" s="12" t="s">
        <v>198</v>
      </c>
      <c r="I324" s="12" t="s">
        <v>1716</v>
      </c>
      <c r="J324" s="12" t="s">
        <v>1717</v>
      </c>
      <c r="K324" s="12" t="s">
        <v>1678</v>
      </c>
      <c r="L324" s="18" t="s">
        <v>209</v>
      </c>
      <c r="M324" s="18" t="s">
        <v>1728</v>
      </c>
      <c r="N324" s="12" t="s">
        <v>1729</v>
      </c>
    </row>
    <row r="325" spans="1:14" x14ac:dyDescent="0.35">
      <c r="A325" s="12" t="s">
        <v>1730</v>
      </c>
      <c r="B325" s="18" t="s">
        <v>1731</v>
      </c>
      <c r="C325" s="12" t="s">
        <v>122</v>
      </c>
      <c r="D325" s="12" t="s">
        <v>33</v>
      </c>
      <c r="E325" s="12"/>
      <c r="F325" s="12" t="s">
        <v>67</v>
      </c>
      <c r="G325" s="12" t="s">
        <v>68</v>
      </c>
      <c r="H325" s="12" t="s">
        <v>259</v>
      </c>
      <c r="I325" s="12" t="s">
        <v>1704</v>
      </c>
      <c r="J325" s="12" t="s">
        <v>1705</v>
      </c>
      <c r="K325" s="12" t="s">
        <v>1678</v>
      </c>
      <c r="L325" s="18" t="s">
        <v>202</v>
      </c>
      <c r="M325" s="18" t="s">
        <v>1732</v>
      </c>
      <c r="N325" s="12" t="s">
        <v>204</v>
      </c>
    </row>
    <row r="326" spans="1:14" x14ac:dyDescent="0.35">
      <c r="A326" s="12" t="s">
        <v>1733</v>
      </c>
      <c r="B326" s="18" t="s">
        <v>1734</v>
      </c>
      <c r="C326" s="12" t="s">
        <v>122</v>
      </c>
      <c r="D326" s="12" t="s">
        <v>33</v>
      </c>
      <c r="E326" s="12"/>
      <c r="F326" s="12" t="s">
        <v>57</v>
      </c>
      <c r="G326" s="12" t="s">
        <v>58</v>
      </c>
      <c r="H326" s="12" t="s">
        <v>198</v>
      </c>
      <c r="I326" s="12" t="s">
        <v>1723</v>
      </c>
      <c r="J326" s="12" t="s">
        <v>1724</v>
      </c>
      <c r="K326" s="12" t="s">
        <v>1678</v>
      </c>
      <c r="L326" s="18" t="s">
        <v>209</v>
      </c>
      <c r="M326" s="18" t="s">
        <v>1735</v>
      </c>
      <c r="N326" s="12" t="s">
        <v>1736</v>
      </c>
    </row>
    <row r="327" spans="1:14" ht="28.5" x14ac:dyDescent="0.35">
      <c r="A327" s="12" t="s">
        <v>1737</v>
      </c>
      <c r="B327" s="18" t="s">
        <v>1738</v>
      </c>
      <c r="C327" s="12" t="s">
        <v>122</v>
      </c>
      <c r="D327" s="12" t="s">
        <v>33</v>
      </c>
      <c r="E327" s="12"/>
      <c r="F327" s="12" t="s">
        <v>65</v>
      </c>
      <c r="G327" s="12" t="s">
        <v>66</v>
      </c>
      <c r="H327" s="12" t="s">
        <v>198</v>
      </c>
      <c r="I327" s="12" t="s">
        <v>1739</v>
      </c>
      <c r="J327" s="12" t="s">
        <v>1740</v>
      </c>
      <c r="K327" s="12" t="s">
        <v>1678</v>
      </c>
      <c r="L327" s="18" t="s">
        <v>202</v>
      </c>
      <c r="M327" s="18" t="s">
        <v>468</v>
      </c>
      <c r="N327" s="12" t="s">
        <v>204</v>
      </c>
    </row>
    <row r="328" spans="1:14" ht="56.5" x14ac:dyDescent="0.35">
      <c r="A328" s="12" t="s">
        <v>1741</v>
      </c>
      <c r="B328" s="18" t="s">
        <v>1742</v>
      </c>
      <c r="C328" s="12" t="s">
        <v>122</v>
      </c>
      <c r="D328" s="12" t="s">
        <v>33</v>
      </c>
      <c r="E328" s="12"/>
      <c r="F328" s="12" t="s">
        <v>61</v>
      </c>
      <c r="G328" s="12" t="s">
        <v>62</v>
      </c>
      <c r="H328" s="12" t="s">
        <v>259</v>
      </c>
      <c r="I328" s="12" t="s">
        <v>1712</v>
      </c>
      <c r="J328" s="12" t="s">
        <v>1713</v>
      </c>
      <c r="K328" s="12" t="s">
        <v>1678</v>
      </c>
      <c r="L328" s="18" t="s">
        <v>202</v>
      </c>
      <c r="M328" s="18" t="s">
        <v>318</v>
      </c>
      <c r="N328" s="12" t="s">
        <v>204</v>
      </c>
    </row>
    <row r="329" spans="1:14" ht="28.5" x14ac:dyDescent="0.35">
      <c r="A329" s="12" t="s">
        <v>1743</v>
      </c>
      <c r="B329" s="18" t="s">
        <v>1744</v>
      </c>
      <c r="C329" s="12" t="s">
        <v>122</v>
      </c>
      <c r="D329" s="12" t="s">
        <v>33</v>
      </c>
      <c r="E329" s="12"/>
      <c r="F329" s="12" t="s">
        <v>55</v>
      </c>
      <c r="G329" s="12" t="s">
        <v>56</v>
      </c>
      <c r="H329" s="12" t="s">
        <v>259</v>
      </c>
      <c r="I329" s="12" t="s">
        <v>1745</v>
      </c>
      <c r="J329" s="12" t="s">
        <v>1746</v>
      </c>
      <c r="K329" s="12" t="s">
        <v>1747</v>
      </c>
      <c r="L329" s="18" t="s">
        <v>202</v>
      </c>
      <c r="M329" s="18" t="s">
        <v>1748</v>
      </c>
      <c r="N329" s="12" t="s">
        <v>204</v>
      </c>
    </row>
    <row r="330" spans="1:14" x14ac:dyDescent="0.35">
      <c r="A330" s="12" t="s">
        <v>1749</v>
      </c>
      <c r="B330" s="18" t="s">
        <v>1750</v>
      </c>
      <c r="C330" s="12" t="s">
        <v>122</v>
      </c>
      <c r="D330" s="12" t="s">
        <v>33</v>
      </c>
      <c r="E330" s="12"/>
      <c r="F330" s="12" t="s">
        <v>53</v>
      </c>
      <c r="G330" s="12" t="s">
        <v>54</v>
      </c>
      <c r="H330" s="12" t="s">
        <v>198</v>
      </c>
      <c r="I330" s="12" t="s">
        <v>1751</v>
      </c>
      <c r="J330" s="12" t="s">
        <v>1752</v>
      </c>
      <c r="K330" s="12" t="s">
        <v>1753</v>
      </c>
      <c r="L330" s="18" t="s">
        <v>209</v>
      </c>
      <c r="M330" s="18" t="s">
        <v>1754</v>
      </c>
      <c r="N330" s="12" t="s">
        <v>1755</v>
      </c>
    </row>
    <row r="331" spans="1:14" ht="28.5" x14ac:dyDescent="0.35">
      <c r="A331" s="18" t="s">
        <v>2750</v>
      </c>
      <c r="B331" s="18" t="s">
        <v>2751</v>
      </c>
      <c r="C331" s="12" t="s">
        <v>122</v>
      </c>
      <c r="D331" s="18" t="s">
        <v>34</v>
      </c>
      <c r="E331" s="18"/>
      <c r="F331" s="12" t="s">
        <v>65</v>
      </c>
      <c r="G331" s="12" t="s">
        <v>66</v>
      </c>
      <c r="H331" s="12" t="s">
        <v>239</v>
      </c>
      <c r="I331" s="12" t="s">
        <v>2752</v>
      </c>
      <c r="J331" s="12" t="s">
        <v>2753</v>
      </c>
      <c r="K331" s="12" t="s">
        <v>1753</v>
      </c>
      <c r="L331" s="12" t="s">
        <v>216</v>
      </c>
      <c r="M331" s="18" t="s">
        <v>4729</v>
      </c>
      <c r="N331" s="18" t="s">
        <v>4730</v>
      </c>
    </row>
    <row r="332" spans="1:14" ht="28.5" x14ac:dyDescent="0.35">
      <c r="A332" s="12" t="s">
        <v>1756</v>
      </c>
      <c r="B332" s="18" t="s">
        <v>1757</v>
      </c>
      <c r="C332" s="12" t="s">
        <v>122</v>
      </c>
      <c r="D332" s="12" t="s">
        <v>33</v>
      </c>
      <c r="E332" s="12"/>
      <c r="F332" s="12" t="s">
        <v>57</v>
      </c>
      <c r="G332" s="12" t="s">
        <v>58</v>
      </c>
      <c r="H332" s="12" t="s">
        <v>198</v>
      </c>
      <c r="I332" s="12" t="s">
        <v>1758</v>
      </c>
      <c r="J332" s="12" t="s">
        <v>1759</v>
      </c>
      <c r="K332" s="12" t="s">
        <v>1760</v>
      </c>
      <c r="L332" s="18" t="s">
        <v>202</v>
      </c>
      <c r="M332" s="18" t="s">
        <v>1761</v>
      </c>
      <c r="N332" s="12" t="s">
        <v>204</v>
      </c>
    </row>
    <row r="333" spans="1:14" ht="28.5" x14ac:dyDescent="0.35">
      <c r="A333" s="12" t="s">
        <v>1762</v>
      </c>
      <c r="B333" s="18" t="s">
        <v>1763</v>
      </c>
      <c r="C333" s="12" t="s">
        <v>122</v>
      </c>
      <c r="D333" s="12" t="s">
        <v>33</v>
      </c>
      <c r="E333" s="12"/>
      <c r="F333" s="12" t="s">
        <v>53</v>
      </c>
      <c r="G333" s="12" t="s">
        <v>54</v>
      </c>
      <c r="H333" s="12" t="s">
        <v>198</v>
      </c>
      <c r="I333" s="12" t="s">
        <v>1764</v>
      </c>
      <c r="J333" s="12" t="s">
        <v>1765</v>
      </c>
      <c r="K333" s="12" t="s">
        <v>1760</v>
      </c>
      <c r="L333" s="18" t="s">
        <v>202</v>
      </c>
      <c r="M333" s="18" t="s">
        <v>1766</v>
      </c>
      <c r="N333" s="12" t="s">
        <v>204</v>
      </c>
    </row>
    <row r="334" spans="1:14" x14ac:dyDescent="0.35">
      <c r="A334" s="12" t="s">
        <v>1767</v>
      </c>
      <c r="B334" s="18" t="s">
        <v>1768</v>
      </c>
      <c r="C334" s="12" t="s">
        <v>122</v>
      </c>
      <c r="D334" s="12" t="s">
        <v>33</v>
      </c>
      <c r="E334" s="12"/>
      <c r="F334" s="12" t="s">
        <v>59</v>
      </c>
      <c r="G334" s="12" t="s">
        <v>60</v>
      </c>
      <c r="H334" s="12" t="s">
        <v>198</v>
      </c>
      <c r="I334" s="12" t="s">
        <v>1769</v>
      </c>
      <c r="J334" s="12" t="s">
        <v>1770</v>
      </c>
      <c r="K334" s="12" t="s">
        <v>1760</v>
      </c>
      <c r="L334" s="18" t="s">
        <v>209</v>
      </c>
      <c r="M334" s="18" t="s">
        <v>1771</v>
      </c>
      <c r="N334" s="12" t="s">
        <v>1772</v>
      </c>
    </row>
    <row r="335" spans="1:14" x14ac:dyDescent="0.35">
      <c r="A335" s="12" t="s">
        <v>1773</v>
      </c>
      <c r="B335" s="18" t="s">
        <v>1774</v>
      </c>
      <c r="C335" s="12" t="s">
        <v>122</v>
      </c>
      <c r="D335" s="12" t="s">
        <v>33</v>
      </c>
      <c r="E335" s="12"/>
      <c r="F335" s="12" t="s">
        <v>53</v>
      </c>
      <c r="G335" s="12" t="s">
        <v>54</v>
      </c>
      <c r="H335" s="12" t="s">
        <v>198</v>
      </c>
      <c r="I335" s="12" t="s">
        <v>1775</v>
      </c>
      <c r="J335" s="12" t="s">
        <v>1776</v>
      </c>
      <c r="K335" s="12" t="s">
        <v>1760</v>
      </c>
      <c r="L335" s="18" t="s">
        <v>202</v>
      </c>
      <c r="M335" s="18" t="s">
        <v>229</v>
      </c>
      <c r="N335" s="12" t="s">
        <v>204</v>
      </c>
    </row>
    <row r="336" spans="1:14" x14ac:dyDescent="0.35">
      <c r="A336" s="12" t="s">
        <v>1777</v>
      </c>
      <c r="B336" s="18" t="s">
        <v>1778</v>
      </c>
      <c r="C336" s="12" t="s">
        <v>122</v>
      </c>
      <c r="D336" s="12" t="s">
        <v>33</v>
      </c>
      <c r="E336" s="12"/>
      <c r="F336" s="12" t="s">
        <v>55</v>
      </c>
      <c r="G336" s="12" t="s">
        <v>56</v>
      </c>
      <c r="H336" s="12" t="s">
        <v>259</v>
      </c>
      <c r="I336" s="12" t="s">
        <v>1779</v>
      </c>
      <c r="J336" s="12" t="s">
        <v>1780</v>
      </c>
      <c r="K336" s="12" t="s">
        <v>1781</v>
      </c>
      <c r="L336" s="18" t="s">
        <v>209</v>
      </c>
      <c r="M336" s="18" t="s">
        <v>1782</v>
      </c>
      <c r="N336" s="12" t="s">
        <v>1783</v>
      </c>
    </row>
    <row r="337" spans="1:14" x14ac:dyDescent="0.35">
      <c r="A337" s="12" t="s">
        <v>1784</v>
      </c>
      <c r="B337" s="18" t="s">
        <v>1785</v>
      </c>
      <c r="C337" s="12" t="s">
        <v>122</v>
      </c>
      <c r="D337" s="12" t="s">
        <v>33</v>
      </c>
      <c r="E337" s="12"/>
      <c r="F337" s="12" t="s">
        <v>53</v>
      </c>
      <c r="G337" s="12" t="s">
        <v>54</v>
      </c>
      <c r="H337" s="12" t="s">
        <v>198</v>
      </c>
      <c r="I337" s="12" t="s">
        <v>1786</v>
      </c>
      <c r="J337" s="12" t="s">
        <v>1787</v>
      </c>
      <c r="K337" s="12" t="s">
        <v>1781</v>
      </c>
      <c r="L337" s="18" t="s">
        <v>209</v>
      </c>
      <c r="M337" s="18" t="s">
        <v>1788</v>
      </c>
      <c r="N337" s="12" t="s">
        <v>1789</v>
      </c>
    </row>
    <row r="338" spans="1:14" ht="28.5" x14ac:dyDescent="0.35">
      <c r="A338" s="12" t="s">
        <v>1790</v>
      </c>
      <c r="B338" s="18" t="s">
        <v>1791</v>
      </c>
      <c r="C338" s="12" t="s">
        <v>122</v>
      </c>
      <c r="D338" s="12" t="s">
        <v>33</v>
      </c>
      <c r="E338" s="12"/>
      <c r="F338" s="12" t="s">
        <v>53</v>
      </c>
      <c r="G338" s="12" t="s">
        <v>54</v>
      </c>
      <c r="H338" s="12" t="s">
        <v>198</v>
      </c>
      <c r="I338" s="12" t="s">
        <v>1792</v>
      </c>
      <c r="J338" s="12" t="s">
        <v>1793</v>
      </c>
      <c r="K338" s="12" t="s">
        <v>1781</v>
      </c>
      <c r="L338" s="18" t="s">
        <v>209</v>
      </c>
      <c r="M338" s="18" t="s">
        <v>1794</v>
      </c>
      <c r="N338" s="12" t="s">
        <v>1795</v>
      </c>
    </row>
    <row r="339" spans="1:14" x14ac:dyDescent="0.35">
      <c r="A339" s="12" t="s">
        <v>1796</v>
      </c>
      <c r="B339" s="18" t="s">
        <v>1797</v>
      </c>
      <c r="C339" s="12" t="s">
        <v>122</v>
      </c>
      <c r="D339" s="12" t="s">
        <v>33</v>
      </c>
      <c r="E339" s="12"/>
      <c r="F339" s="12" t="s">
        <v>73</v>
      </c>
      <c r="G339" s="12" t="s">
        <v>74</v>
      </c>
      <c r="H339" s="12" t="s">
        <v>259</v>
      </c>
      <c r="I339" s="12" t="s">
        <v>1798</v>
      </c>
      <c r="J339" s="12" t="s">
        <v>1799</v>
      </c>
      <c r="K339" s="12" t="s">
        <v>1800</v>
      </c>
      <c r="L339" s="18" t="s">
        <v>209</v>
      </c>
      <c r="M339" s="18" t="s">
        <v>1801</v>
      </c>
      <c r="N339" s="12" t="s">
        <v>1802</v>
      </c>
    </row>
    <row r="340" spans="1:14" ht="28.5" x14ac:dyDescent="0.35">
      <c r="A340" s="12" t="s">
        <v>1803</v>
      </c>
      <c r="B340" s="18" t="s">
        <v>1804</v>
      </c>
      <c r="C340" s="12" t="s">
        <v>122</v>
      </c>
      <c r="D340" s="12" t="s">
        <v>38</v>
      </c>
      <c r="E340" s="12"/>
      <c r="F340" s="12" t="s">
        <v>95</v>
      </c>
      <c r="G340" s="12" t="s">
        <v>96</v>
      </c>
      <c r="H340" s="12" t="s">
        <v>239</v>
      </c>
      <c r="I340" s="12" t="s">
        <v>1798</v>
      </c>
      <c r="J340" s="12" t="s">
        <v>1805</v>
      </c>
      <c r="K340" s="12" t="s">
        <v>1800</v>
      </c>
      <c r="L340" s="18" t="s">
        <v>209</v>
      </c>
      <c r="M340" s="18" t="s">
        <v>1806</v>
      </c>
      <c r="N340" s="12" t="s">
        <v>1807</v>
      </c>
    </row>
    <row r="341" spans="1:14" x14ac:dyDescent="0.35">
      <c r="A341" s="12" t="s">
        <v>1808</v>
      </c>
      <c r="B341" s="18" t="s">
        <v>1809</v>
      </c>
      <c r="C341" s="12" t="s">
        <v>122</v>
      </c>
      <c r="D341" s="12" t="s">
        <v>36</v>
      </c>
      <c r="E341" s="12"/>
      <c r="F341" s="12" t="s">
        <v>71</v>
      </c>
      <c r="G341" s="12" t="s">
        <v>72</v>
      </c>
      <c r="H341" s="12" t="s">
        <v>198</v>
      </c>
      <c r="I341" s="12" t="s">
        <v>1798</v>
      </c>
      <c r="J341" s="12" t="s">
        <v>1810</v>
      </c>
      <c r="K341" s="12" t="s">
        <v>1800</v>
      </c>
      <c r="L341" s="18" t="s">
        <v>209</v>
      </c>
      <c r="M341" s="18" t="s">
        <v>1811</v>
      </c>
      <c r="N341" s="12" t="s">
        <v>1812</v>
      </c>
    </row>
    <row r="342" spans="1:14" x14ac:dyDescent="0.35">
      <c r="A342" s="12" t="s">
        <v>1813</v>
      </c>
      <c r="B342" s="18" t="s">
        <v>1814</v>
      </c>
      <c r="C342" s="12" t="s">
        <v>122</v>
      </c>
      <c r="D342" s="12" t="s">
        <v>33</v>
      </c>
      <c r="E342" s="12"/>
      <c r="F342" s="12" t="s">
        <v>71</v>
      </c>
      <c r="G342" s="12" t="s">
        <v>72</v>
      </c>
      <c r="H342" s="12" t="s">
        <v>239</v>
      </c>
      <c r="I342" s="12" t="s">
        <v>1798</v>
      </c>
      <c r="J342" s="12" t="s">
        <v>1815</v>
      </c>
      <c r="K342" s="12" t="s">
        <v>1800</v>
      </c>
      <c r="L342" s="18" t="s">
        <v>216</v>
      </c>
      <c r="M342" s="18" t="s">
        <v>1816</v>
      </c>
      <c r="N342" s="12" t="s">
        <v>1817</v>
      </c>
    </row>
    <row r="343" spans="1:14" ht="28.5" x14ac:dyDescent="0.35">
      <c r="A343" s="12" t="s">
        <v>1818</v>
      </c>
      <c r="B343" s="18" t="s">
        <v>1819</v>
      </c>
      <c r="C343" s="12" t="s">
        <v>122</v>
      </c>
      <c r="D343" s="12" t="s">
        <v>33</v>
      </c>
      <c r="E343" s="12"/>
      <c r="F343" s="12" t="s">
        <v>73</v>
      </c>
      <c r="G343" s="12" t="s">
        <v>74</v>
      </c>
      <c r="H343" s="12" t="s">
        <v>198</v>
      </c>
      <c r="I343" s="12" t="s">
        <v>1798</v>
      </c>
      <c r="J343" s="12" t="s">
        <v>1799</v>
      </c>
      <c r="K343" s="12" t="s">
        <v>1800</v>
      </c>
      <c r="L343" s="18" t="s">
        <v>202</v>
      </c>
      <c r="M343" s="18" t="s">
        <v>1820</v>
      </c>
      <c r="N343" s="12" t="s">
        <v>204</v>
      </c>
    </row>
    <row r="344" spans="1:14" ht="42.5" x14ac:dyDescent="0.35">
      <c r="A344" s="12" t="s">
        <v>1821</v>
      </c>
      <c r="B344" s="18" t="s">
        <v>1822</v>
      </c>
      <c r="C344" s="12" t="s">
        <v>122</v>
      </c>
      <c r="D344" s="12" t="s">
        <v>33</v>
      </c>
      <c r="E344" s="12"/>
      <c r="F344" s="12" t="s">
        <v>71</v>
      </c>
      <c r="G344" s="12" t="s">
        <v>72</v>
      </c>
      <c r="H344" s="12" t="s">
        <v>386</v>
      </c>
      <c r="I344" s="12" t="s">
        <v>1798</v>
      </c>
      <c r="J344" s="12" t="s">
        <v>1799</v>
      </c>
      <c r="K344" s="12" t="s">
        <v>1800</v>
      </c>
      <c r="L344" s="18" t="s">
        <v>216</v>
      </c>
      <c r="M344" s="18" t="s">
        <v>1823</v>
      </c>
      <c r="N344" s="12" t="s">
        <v>1824</v>
      </c>
    </row>
    <row r="345" spans="1:14" x14ac:dyDescent="0.35">
      <c r="A345" s="12" t="s">
        <v>1825</v>
      </c>
      <c r="B345" s="18" t="s">
        <v>1826</v>
      </c>
      <c r="C345" s="12" t="s">
        <v>122</v>
      </c>
      <c r="D345" s="12" t="s">
        <v>34</v>
      </c>
      <c r="E345" s="12"/>
      <c r="F345" s="12" t="s">
        <v>65</v>
      </c>
      <c r="G345" s="12" t="s">
        <v>66</v>
      </c>
      <c r="H345" s="12" t="s">
        <v>198</v>
      </c>
      <c r="I345" s="12" t="s">
        <v>1798</v>
      </c>
      <c r="J345" s="12" t="s">
        <v>1827</v>
      </c>
      <c r="K345" s="12" t="s">
        <v>1800</v>
      </c>
      <c r="L345" s="18" t="s">
        <v>216</v>
      </c>
      <c r="M345" s="18" t="s">
        <v>1828</v>
      </c>
      <c r="N345" s="12" t="s">
        <v>1829</v>
      </c>
    </row>
    <row r="346" spans="1:14" ht="28.5" x14ac:dyDescent="0.35">
      <c r="A346" s="12" t="s">
        <v>1830</v>
      </c>
      <c r="B346" s="18" t="s">
        <v>1831</v>
      </c>
      <c r="C346" s="12" t="s">
        <v>122</v>
      </c>
      <c r="D346" s="12" t="s">
        <v>33</v>
      </c>
      <c r="E346" s="12"/>
      <c r="F346" s="12" t="s">
        <v>59</v>
      </c>
      <c r="G346" s="12" t="s">
        <v>60</v>
      </c>
      <c r="H346" s="12" t="s">
        <v>239</v>
      </c>
      <c r="I346" s="12" t="s">
        <v>1798</v>
      </c>
      <c r="J346" s="12" t="s">
        <v>1810</v>
      </c>
      <c r="K346" s="12" t="s">
        <v>1800</v>
      </c>
      <c r="L346" s="18" t="s">
        <v>202</v>
      </c>
      <c r="M346" s="18" t="s">
        <v>313</v>
      </c>
      <c r="N346" s="12" t="s">
        <v>204</v>
      </c>
    </row>
    <row r="347" spans="1:14" x14ac:dyDescent="0.35">
      <c r="A347" s="12" t="s">
        <v>1832</v>
      </c>
      <c r="B347" s="18" t="s">
        <v>1833</v>
      </c>
      <c r="C347" s="12" t="s">
        <v>122</v>
      </c>
      <c r="D347" s="12" t="s">
        <v>36</v>
      </c>
      <c r="E347" s="12"/>
      <c r="F347" s="12" t="s">
        <v>71</v>
      </c>
      <c r="G347" s="12" t="s">
        <v>72</v>
      </c>
      <c r="H347" s="12" t="s">
        <v>259</v>
      </c>
      <c r="I347" s="12" t="s">
        <v>1798</v>
      </c>
      <c r="J347" s="12" t="s">
        <v>1810</v>
      </c>
      <c r="K347" s="12" t="s">
        <v>1800</v>
      </c>
      <c r="L347" s="18" t="s">
        <v>209</v>
      </c>
      <c r="M347" s="18" t="s">
        <v>1834</v>
      </c>
      <c r="N347" s="12" t="s">
        <v>1835</v>
      </c>
    </row>
    <row r="348" spans="1:14" x14ac:dyDescent="0.35">
      <c r="A348" s="12" t="s">
        <v>1836</v>
      </c>
      <c r="B348" s="18" t="s">
        <v>1837</v>
      </c>
      <c r="C348" s="12" t="s">
        <v>122</v>
      </c>
      <c r="D348" s="12" t="s">
        <v>33</v>
      </c>
      <c r="E348" s="12"/>
      <c r="F348" s="12" t="s">
        <v>69</v>
      </c>
      <c r="G348" s="12" t="s">
        <v>70</v>
      </c>
      <c r="H348" s="12" t="s">
        <v>198</v>
      </c>
      <c r="I348" s="12" t="s">
        <v>1838</v>
      </c>
      <c r="J348" s="12" t="s">
        <v>1839</v>
      </c>
      <c r="K348" s="12" t="s">
        <v>1840</v>
      </c>
      <c r="L348" s="18" t="s">
        <v>202</v>
      </c>
      <c r="M348" s="18" t="s">
        <v>375</v>
      </c>
      <c r="N348" s="12" t="s">
        <v>204</v>
      </c>
    </row>
    <row r="349" spans="1:14" x14ac:dyDescent="0.35">
      <c r="A349" s="12" t="s">
        <v>1841</v>
      </c>
      <c r="B349" s="18" t="s">
        <v>1842</v>
      </c>
      <c r="C349" s="12" t="s">
        <v>122</v>
      </c>
      <c r="D349" s="12" t="s">
        <v>33</v>
      </c>
      <c r="E349" s="12"/>
      <c r="F349" s="12" t="s">
        <v>53</v>
      </c>
      <c r="G349" s="12" t="s">
        <v>54</v>
      </c>
      <c r="H349" s="12" t="s">
        <v>259</v>
      </c>
      <c r="I349" s="12" t="s">
        <v>1843</v>
      </c>
      <c r="J349" s="12" t="s">
        <v>1844</v>
      </c>
      <c r="K349" s="12" t="s">
        <v>1840</v>
      </c>
      <c r="L349" s="18" t="s">
        <v>202</v>
      </c>
      <c r="M349" s="18" t="s">
        <v>229</v>
      </c>
      <c r="N349" s="12" t="s">
        <v>204</v>
      </c>
    </row>
    <row r="350" spans="1:14" ht="42.5" x14ac:dyDescent="0.35">
      <c r="A350" s="12" t="s">
        <v>1845</v>
      </c>
      <c r="B350" s="18" t="s">
        <v>1846</v>
      </c>
      <c r="C350" s="12" t="s">
        <v>122</v>
      </c>
      <c r="D350" s="12" t="s">
        <v>33</v>
      </c>
      <c r="E350" s="12"/>
      <c r="F350" s="12" t="s">
        <v>73</v>
      </c>
      <c r="G350" s="12" t="s">
        <v>74</v>
      </c>
      <c r="H350" s="12" t="s">
        <v>198</v>
      </c>
      <c r="I350" s="12" t="s">
        <v>1847</v>
      </c>
      <c r="J350" s="12" t="s">
        <v>1848</v>
      </c>
      <c r="K350" s="12" t="s">
        <v>1840</v>
      </c>
      <c r="L350" s="18" t="s">
        <v>216</v>
      </c>
      <c r="M350" s="18" t="s">
        <v>1849</v>
      </c>
      <c r="N350" s="12" t="s">
        <v>1850</v>
      </c>
    </row>
    <row r="351" spans="1:14" ht="28.5" x14ac:dyDescent="0.35">
      <c r="A351" s="12" t="s">
        <v>1851</v>
      </c>
      <c r="B351" s="18" t="s">
        <v>1852</v>
      </c>
      <c r="C351" s="12" t="s">
        <v>122</v>
      </c>
      <c r="D351" s="12" t="s">
        <v>33</v>
      </c>
      <c r="E351" s="12"/>
      <c r="F351" s="12" t="s">
        <v>53</v>
      </c>
      <c r="G351" s="12" t="s">
        <v>54</v>
      </c>
      <c r="H351" s="12" t="s">
        <v>198</v>
      </c>
      <c r="I351" s="12" t="s">
        <v>1838</v>
      </c>
      <c r="J351" s="12" t="s">
        <v>1853</v>
      </c>
      <c r="K351" s="12" t="s">
        <v>1840</v>
      </c>
      <c r="L351" s="18" t="s">
        <v>202</v>
      </c>
      <c r="M351" s="18" t="s">
        <v>1854</v>
      </c>
      <c r="N351" s="12" t="s">
        <v>204</v>
      </c>
    </row>
    <row r="352" spans="1:14" ht="28.5" x14ac:dyDescent="0.35">
      <c r="A352" s="12" t="s">
        <v>1855</v>
      </c>
      <c r="B352" s="18" t="s">
        <v>1856</v>
      </c>
      <c r="C352" s="12" t="s">
        <v>122</v>
      </c>
      <c r="D352" s="12" t="s">
        <v>34</v>
      </c>
      <c r="E352" s="12"/>
      <c r="F352" s="12" t="s">
        <v>65</v>
      </c>
      <c r="G352" s="12" t="s">
        <v>66</v>
      </c>
      <c r="H352" s="12" t="s">
        <v>198</v>
      </c>
      <c r="I352" s="12" t="s">
        <v>1857</v>
      </c>
      <c r="J352" s="12" t="s">
        <v>1858</v>
      </c>
      <c r="K352" s="12" t="s">
        <v>1840</v>
      </c>
      <c r="L352" s="18" t="s">
        <v>216</v>
      </c>
      <c r="M352" s="18" t="s">
        <v>1859</v>
      </c>
      <c r="N352" s="12" t="s">
        <v>1860</v>
      </c>
    </row>
    <row r="353" spans="1:14" x14ac:dyDescent="0.35">
      <c r="A353" s="12" t="s">
        <v>1861</v>
      </c>
      <c r="B353" s="18" t="s">
        <v>1862</v>
      </c>
      <c r="C353" s="12" t="s">
        <v>122</v>
      </c>
      <c r="D353" s="12" t="s">
        <v>33</v>
      </c>
      <c r="E353" s="12"/>
      <c r="F353" s="12" t="s">
        <v>67</v>
      </c>
      <c r="G353" s="12" t="s">
        <v>68</v>
      </c>
      <c r="H353" s="12" t="s">
        <v>259</v>
      </c>
      <c r="I353" s="12" t="s">
        <v>1863</v>
      </c>
      <c r="J353" s="12" t="s">
        <v>1864</v>
      </c>
      <c r="K353" s="12" t="s">
        <v>1840</v>
      </c>
      <c r="L353" s="18" t="s">
        <v>202</v>
      </c>
      <c r="M353" s="18" t="s">
        <v>473</v>
      </c>
      <c r="N353" s="12" t="s">
        <v>204</v>
      </c>
    </row>
    <row r="354" spans="1:14" x14ac:dyDescent="0.35">
      <c r="A354" s="12" t="s">
        <v>1865</v>
      </c>
      <c r="B354" s="18" t="s">
        <v>1866</v>
      </c>
      <c r="C354" s="12" t="s">
        <v>122</v>
      </c>
      <c r="D354" s="12" t="s">
        <v>33</v>
      </c>
      <c r="E354" s="12"/>
      <c r="F354" s="12" t="s">
        <v>57</v>
      </c>
      <c r="G354" s="12" t="s">
        <v>58</v>
      </c>
      <c r="H354" s="12" t="s">
        <v>259</v>
      </c>
      <c r="I354" s="12" t="s">
        <v>1838</v>
      </c>
      <c r="J354" s="12" t="s">
        <v>1853</v>
      </c>
      <c r="K354" s="12" t="s">
        <v>1840</v>
      </c>
      <c r="L354" s="18" t="s">
        <v>202</v>
      </c>
      <c r="M354" s="18" t="s">
        <v>414</v>
      </c>
      <c r="N354" s="12" t="s">
        <v>204</v>
      </c>
    </row>
    <row r="355" spans="1:14" x14ac:dyDescent="0.35">
      <c r="A355" s="12" t="s">
        <v>1867</v>
      </c>
      <c r="B355" s="18" t="s">
        <v>1868</v>
      </c>
      <c r="C355" s="12" t="s">
        <v>122</v>
      </c>
      <c r="D355" s="12" t="s">
        <v>33</v>
      </c>
      <c r="E355" s="12"/>
      <c r="F355" s="12" t="s">
        <v>53</v>
      </c>
      <c r="G355" s="12" t="s">
        <v>54</v>
      </c>
      <c r="H355" s="12" t="s">
        <v>239</v>
      </c>
      <c r="I355" s="12" t="s">
        <v>1869</v>
      </c>
      <c r="J355" s="12" t="s">
        <v>1870</v>
      </c>
      <c r="K355" s="12" t="s">
        <v>1840</v>
      </c>
      <c r="L355" s="18" t="s">
        <v>202</v>
      </c>
      <c r="M355" s="18" t="s">
        <v>229</v>
      </c>
      <c r="N355" s="12" t="s">
        <v>204</v>
      </c>
    </row>
    <row r="356" spans="1:14" ht="28.5" x14ac:dyDescent="0.35">
      <c r="A356" s="12" t="s">
        <v>1871</v>
      </c>
      <c r="B356" s="18" t="s">
        <v>1872</v>
      </c>
      <c r="C356" s="12" t="s">
        <v>122</v>
      </c>
      <c r="D356" s="12" t="s">
        <v>33</v>
      </c>
      <c r="E356" s="12"/>
      <c r="F356" s="12" t="s">
        <v>57</v>
      </c>
      <c r="G356" s="12" t="s">
        <v>58</v>
      </c>
      <c r="H356" s="12" t="s">
        <v>198</v>
      </c>
      <c r="I356" s="12" t="s">
        <v>1873</v>
      </c>
      <c r="J356" s="12" t="s">
        <v>1874</v>
      </c>
      <c r="K356" s="12" t="s">
        <v>1840</v>
      </c>
      <c r="L356" s="18" t="s">
        <v>202</v>
      </c>
      <c r="M356" s="18" t="s">
        <v>414</v>
      </c>
      <c r="N356" s="12" t="s">
        <v>204</v>
      </c>
    </row>
    <row r="357" spans="1:14" x14ac:dyDescent="0.35">
      <c r="A357" s="12" t="s">
        <v>1875</v>
      </c>
      <c r="B357" s="18" t="s">
        <v>1876</v>
      </c>
      <c r="C357" s="12" t="s">
        <v>122</v>
      </c>
      <c r="D357" s="12" t="s">
        <v>33</v>
      </c>
      <c r="E357" s="12"/>
      <c r="F357" s="12" t="s">
        <v>61</v>
      </c>
      <c r="G357" s="12" t="s">
        <v>62</v>
      </c>
      <c r="H357" s="12" t="s">
        <v>259</v>
      </c>
      <c r="I357" s="12" t="s">
        <v>1877</v>
      </c>
      <c r="J357" s="12" t="s">
        <v>1878</v>
      </c>
      <c r="K357" s="12" t="s">
        <v>1840</v>
      </c>
      <c r="L357" s="18" t="s">
        <v>202</v>
      </c>
      <c r="M357" s="18" t="s">
        <v>318</v>
      </c>
      <c r="N357" s="12" t="s">
        <v>204</v>
      </c>
    </row>
    <row r="358" spans="1:14" x14ac:dyDescent="0.35">
      <c r="A358" s="12" t="s">
        <v>1879</v>
      </c>
      <c r="B358" s="18" t="s">
        <v>1880</v>
      </c>
      <c r="C358" s="12" t="s">
        <v>122</v>
      </c>
      <c r="D358" s="12" t="s">
        <v>33</v>
      </c>
      <c r="E358" s="12"/>
      <c r="F358" s="12" t="s">
        <v>53</v>
      </c>
      <c r="G358" s="12" t="s">
        <v>54</v>
      </c>
      <c r="H358" s="12" t="s">
        <v>198</v>
      </c>
      <c r="I358" s="12" t="s">
        <v>1881</v>
      </c>
      <c r="J358" s="12" t="s">
        <v>1844</v>
      </c>
      <c r="K358" s="12" t="s">
        <v>1840</v>
      </c>
      <c r="L358" s="18" t="s">
        <v>209</v>
      </c>
      <c r="M358" s="18" t="s">
        <v>1882</v>
      </c>
      <c r="N358" s="12" t="s">
        <v>1883</v>
      </c>
    </row>
    <row r="359" spans="1:14" ht="70.5" x14ac:dyDescent="0.35">
      <c r="A359" s="12" t="s">
        <v>1884</v>
      </c>
      <c r="B359" s="18" t="s">
        <v>1885</v>
      </c>
      <c r="C359" s="12" t="s">
        <v>122</v>
      </c>
      <c r="D359" s="12" t="s">
        <v>33</v>
      </c>
      <c r="E359" s="12"/>
      <c r="F359" s="12" t="s">
        <v>53</v>
      </c>
      <c r="G359" s="12" t="s">
        <v>54</v>
      </c>
      <c r="H359" s="12" t="s">
        <v>239</v>
      </c>
      <c r="I359" s="12" t="s">
        <v>1886</v>
      </c>
      <c r="J359" s="12" t="s">
        <v>1887</v>
      </c>
      <c r="K359" s="12" t="s">
        <v>1888</v>
      </c>
      <c r="L359" s="18" t="s">
        <v>202</v>
      </c>
      <c r="M359" s="18" t="s">
        <v>1889</v>
      </c>
      <c r="N359" s="12" t="s">
        <v>204</v>
      </c>
    </row>
    <row r="360" spans="1:14" ht="42.5" x14ac:dyDescent="0.35">
      <c r="A360" s="12" t="s">
        <v>1890</v>
      </c>
      <c r="B360" s="18" t="s">
        <v>1891</v>
      </c>
      <c r="C360" s="12" t="s">
        <v>122</v>
      </c>
      <c r="D360" s="12" t="s">
        <v>34</v>
      </c>
      <c r="E360" s="12"/>
      <c r="F360" s="12" t="s">
        <v>65</v>
      </c>
      <c r="G360" s="12" t="s">
        <v>66</v>
      </c>
      <c r="H360" s="12" t="s">
        <v>259</v>
      </c>
      <c r="I360" s="12" t="s">
        <v>1892</v>
      </c>
      <c r="J360" s="12" t="s">
        <v>1893</v>
      </c>
      <c r="K360" s="12" t="s">
        <v>1888</v>
      </c>
      <c r="L360" s="18" t="s">
        <v>216</v>
      </c>
      <c r="M360" s="18" t="s">
        <v>1894</v>
      </c>
      <c r="N360" s="12" t="s">
        <v>1895</v>
      </c>
    </row>
    <row r="361" spans="1:14" x14ac:dyDescent="0.35">
      <c r="A361" s="12" t="s">
        <v>1896</v>
      </c>
      <c r="B361" s="18" t="s">
        <v>1897</v>
      </c>
      <c r="C361" s="12" t="s">
        <v>122</v>
      </c>
      <c r="D361" s="12" t="s">
        <v>38</v>
      </c>
      <c r="E361" s="12"/>
      <c r="F361" s="12" t="s">
        <v>65</v>
      </c>
      <c r="G361" s="12" t="s">
        <v>66</v>
      </c>
      <c r="H361" s="12" t="s">
        <v>259</v>
      </c>
      <c r="I361" s="12" t="s">
        <v>1898</v>
      </c>
      <c r="J361" s="12" t="s">
        <v>1899</v>
      </c>
      <c r="K361" s="12" t="s">
        <v>1888</v>
      </c>
      <c r="L361" s="18" t="s">
        <v>209</v>
      </c>
      <c r="M361" s="18" t="s">
        <v>1900</v>
      </c>
      <c r="N361" s="12" t="s">
        <v>1901</v>
      </c>
    </row>
    <row r="362" spans="1:14" x14ac:dyDescent="0.35">
      <c r="A362" s="12" t="s">
        <v>1902</v>
      </c>
      <c r="B362" s="18" t="s">
        <v>1903</v>
      </c>
      <c r="C362" s="12" t="s">
        <v>122</v>
      </c>
      <c r="D362" s="12" t="s">
        <v>33</v>
      </c>
      <c r="E362" s="12"/>
      <c r="F362" s="12" t="s">
        <v>55</v>
      </c>
      <c r="G362" s="12" t="s">
        <v>56</v>
      </c>
      <c r="H362" s="12" t="s">
        <v>198</v>
      </c>
      <c r="I362" s="12" t="s">
        <v>1904</v>
      </c>
      <c r="J362" s="12" t="s">
        <v>1905</v>
      </c>
      <c r="K362" s="12" t="s">
        <v>1888</v>
      </c>
      <c r="L362" s="18" t="s">
        <v>202</v>
      </c>
      <c r="M362" s="18" t="s">
        <v>371</v>
      </c>
      <c r="N362" s="12" t="s">
        <v>204</v>
      </c>
    </row>
    <row r="363" spans="1:14" x14ac:dyDescent="0.35">
      <c r="A363" s="12" t="s">
        <v>1906</v>
      </c>
      <c r="B363" s="18" t="s">
        <v>1907</v>
      </c>
      <c r="C363" s="12" t="s">
        <v>122</v>
      </c>
      <c r="D363" s="12" t="s">
        <v>33</v>
      </c>
      <c r="E363" s="12"/>
      <c r="F363" s="12" t="s">
        <v>53</v>
      </c>
      <c r="G363" s="12" t="s">
        <v>54</v>
      </c>
      <c r="H363" s="12" t="s">
        <v>198</v>
      </c>
      <c r="I363" s="12" t="s">
        <v>1908</v>
      </c>
      <c r="J363" s="12" t="s">
        <v>1909</v>
      </c>
      <c r="K363" s="12" t="s">
        <v>1888</v>
      </c>
      <c r="L363" s="18" t="s">
        <v>209</v>
      </c>
      <c r="M363" s="18" t="s">
        <v>1910</v>
      </c>
      <c r="N363" s="12" t="s">
        <v>1911</v>
      </c>
    </row>
    <row r="364" spans="1:14" ht="42.5" x14ac:dyDescent="0.35">
      <c r="A364" s="12" t="s">
        <v>1912</v>
      </c>
      <c r="B364" s="18" t="s">
        <v>1913</v>
      </c>
      <c r="C364" s="12" t="s">
        <v>122</v>
      </c>
      <c r="D364" s="12" t="s">
        <v>33</v>
      </c>
      <c r="E364" s="12"/>
      <c r="F364" s="12" t="s">
        <v>61</v>
      </c>
      <c r="G364" s="12" t="s">
        <v>62</v>
      </c>
      <c r="H364" s="12" t="s">
        <v>239</v>
      </c>
      <c r="I364" s="12" t="s">
        <v>1914</v>
      </c>
      <c r="J364" s="12" t="s">
        <v>1915</v>
      </c>
      <c r="K364" s="12" t="s">
        <v>1888</v>
      </c>
      <c r="L364" s="18" t="s">
        <v>202</v>
      </c>
      <c r="M364" s="18" t="s">
        <v>318</v>
      </c>
      <c r="N364" s="12" t="s">
        <v>204</v>
      </c>
    </row>
    <row r="365" spans="1:14" x14ac:dyDescent="0.35">
      <c r="A365" s="12" t="s">
        <v>1916</v>
      </c>
      <c r="B365" s="18" t="s">
        <v>1917</v>
      </c>
      <c r="C365" s="12" t="s">
        <v>122</v>
      </c>
      <c r="D365" s="12" t="s">
        <v>33</v>
      </c>
      <c r="E365" s="12"/>
      <c r="F365" s="12" t="s">
        <v>53</v>
      </c>
      <c r="G365" s="12" t="s">
        <v>54</v>
      </c>
      <c r="H365" s="12" t="s">
        <v>198</v>
      </c>
      <c r="I365" s="12" t="s">
        <v>1918</v>
      </c>
      <c r="J365" s="12" t="s">
        <v>1919</v>
      </c>
      <c r="K365" s="12" t="s">
        <v>1888</v>
      </c>
      <c r="L365" s="18" t="s">
        <v>216</v>
      </c>
      <c r="M365" s="18" t="s">
        <v>1920</v>
      </c>
      <c r="N365" s="12" t="s">
        <v>1921</v>
      </c>
    </row>
    <row r="366" spans="1:14" ht="28.5" x14ac:dyDescent="0.35">
      <c r="A366" s="12" t="s">
        <v>1922</v>
      </c>
      <c r="B366" s="18" t="s">
        <v>1923</v>
      </c>
      <c r="C366" s="12" t="s">
        <v>122</v>
      </c>
      <c r="D366" s="12" t="s">
        <v>33</v>
      </c>
      <c r="E366" s="12"/>
      <c r="F366" s="12" t="s">
        <v>55</v>
      </c>
      <c r="G366" s="12" t="s">
        <v>56</v>
      </c>
      <c r="H366" s="12" t="s">
        <v>239</v>
      </c>
      <c r="I366" s="12" t="s">
        <v>1924</v>
      </c>
      <c r="J366" s="12" t="s">
        <v>1925</v>
      </c>
      <c r="K366" s="12" t="s">
        <v>1888</v>
      </c>
      <c r="L366" s="18" t="s">
        <v>202</v>
      </c>
      <c r="M366" s="18" t="s">
        <v>371</v>
      </c>
      <c r="N366" s="12" t="s">
        <v>204</v>
      </c>
    </row>
    <row r="367" spans="1:14" ht="56.5" x14ac:dyDescent="0.35">
      <c r="A367" s="12" t="s">
        <v>1926</v>
      </c>
      <c r="B367" s="18" t="s">
        <v>1927</v>
      </c>
      <c r="C367" s="12" t="s">
        <v>122</v>
      </c>
      <c r="D367" s="12" t="s">
        <v>33</v>
      </c>
      <c r="E367" s="12"/>
      <c r="F367" s="12" t="s">
        <v>55</v>
      </c>
      <c r="G367" s="12" t="s">
        <v>56</v>
      </c>
      <c r="H367" s="12" t="s">
        <v>239</v>
      </c>
      <c r="I367" s="12" t="s">
        <v>1928</v>
      </c>
      <c r="J367" s="12" t="s">
        <v>1929</v>
      </c>
      <c r="K367" s="12" t="s">
        <v>1888</v>
      </c>
      <c r="L367" s="18" t="s">
        <v>202</v>
      </c>
      <c r="M367" s="18" t="s">
        <v>1930</v>
      </c>
      <c r="N367" s="12" t="s">
        <v>204</v>
      </c>
    </row>
    <row r="368" spans="1:14" ht="70.5" x14ac:dyDescent="0.35">
      <c r="A368" s="12" t="s">
        <v>1931</v>
      </c>
      <c r="B368" s="18" t="s">
        <v>1932</v>
      </c>
      <c r="C368" s="12" t="s">
        <v>122</v>
      </c>
      <c r="D368" s="12" t="s">
        <v>33</v>
      </c>
      <c r="E368" s="12"/>
      <c r="F368" s="12" t="s">
        <v>55</v>
      </c>
      <c r="G368" s="12" t="s">
        <v>56</v>
      </c>
      <c r="H368" s="12" t="s">
        <v>198</v>
      </c>
      <c r="I368" s="12" t="s">
        <v>1933</v>
      </c>
      <c r="J368" s="12" t="s">
        <v>1934</v>
      </c>
      <c r="K368" s="12" t="s">
        <v>1935</v>
      </c>
      <c r="L368" s="18" t="s">
        <v>202</v>
      </c>
      <c r="M368" s="18" t="s">
        <v>371</v>
      </c>
      <c r="N368" s="12" t="s">
        <v>204</v>
      </c>
    </row>
    <row r="369" spans="1:14" x14ac:dyDescent="0.35">
      <c r="A369" s="12" t="s">
        <v>1936</v>
      </c>
      <c r="B369" s="18" t="s">
        <v>1937</v>
      </c>
      <c r="C369" s="12" t="s">
        <v>122</v>
      </c>
      <c r="D369" s="12" t="s">
        <v>33</v>
      </c>
      <c r="E369" s="12"/>
      <c r="F369" s="12" t="s">
        <v>73</v>
      </c>
      <c r="G369" s="12" t="s">
        <v>74</v>
      </c>
      <c r="H369" s="12" t="s">
        <v>198</v>
      </c>
      <c r="I369" s="12" t="s">
        <v>1938</v>
      </c>
      <c r="J369" s="12" t="s">
        <v>1939</v>
      </c>
      <c r="K369" s="12" t="s">
        <v>1935</v>
      </c>
      <c r="L369" s="18" t="s">
        <v>209</v>
      </c>
      <c r="M369" s="18" t="s">
        <v>1940</v>
      </c>
      <c r="N369" s="12" t="s">
        <v>1941</v>
      </c>
    </row>
    <row r="370" spans="1:14" ht="28.5" x14ac:dyDescent="0.35">
      <c r="A370" s="12" t="s">
        <v>1942</v>
      </c>
      <c r="B370" s="18" t="s">
        <v>1943</v>
      </c>
      <c r="C370" s="12" t="s">
        <v>122</v>
      </c>
      <c r="D370" s="12" t="s">
        <v>33</v>
      </c>
      <c r="E370" s="12"/>
      <c r="F370" s="12" t="s">
        <v>59</v>
      </c>
      <c r="G370" s="12" t="s">
        <v>60</v>
      </c>
      <c r="H370" s="12" t="s">
        <v>259</v>
      </c>
      <c r="I370" s="12" t="s">
        <v>1944</v>
      </c>
      <c r="J370" s="12" t="s">
        <v>1945</v>
      </c>
      <c r="K370" s="12" t="s">
        <v>1935</v>
      </c>
      <c r="L370" s="18" t="s">
        <v>202</v>
      </c>
      <c r="M370" s="18" t="s">
        <v>1946</v>
      </c>
      <c r="N370" s="12" t="s">
        <v>204</v>
      </c>
    </row>
    <row r="371" spans="1:14" x14ac:dyDescent="0.35">
      <c r="A371" s="12" t="s">
        <v>1947</v>
      </c>
      <c r="B371" s="18" t="s">
        <v>1948</v>
      </c>
      <c r="C371" s="12" t="s">
        <v>122</v>
      </c>
      <c r="D371" s="12" t="s">
        <v>33</v>
      </c>
      <c r="E371" s="12"/>
      <c r="F371" s="12" t="s">
        <v>55</v>
      </c>
      <c r="G371" s="12" t="s">
        <v>56</v>
      </c>
      <c r="H371" s="12" t="s">
        <v>198</v>
      </c>
      <c r="I371" s="12" t="s">
        <v>1949</v>
      </c>
      <c r="J371" s="12" t="s">
        <v>1950</v>
      </c>
      <c r="K371" s="12" t="s">
        <v>1935</v>
      </c>
      <c r="L371" s="18" t="s">
        <v>209</v>
      </c>
      <c r="M371" s="18" t="s">
        <v>1951</v>
      </c>
      <c r="N371" s="12" t="s">
        <v>1952</v>
      </c>
    </row>
    <row r="372" spans="1:14" ht="42.5" x14ac:dyDescent="0.35">
      <c r="A372" s="12" t="s">
        <v>1953</v>
      </c>
      <c r="B372" s="18" t="s">
        <v>1954</v>
      </c>
      <c r="C372" s="12" t="s">
        <v>122</v>
      </c>
      <c r="D372" s="12" t="s">
        <v>33</v>
      </c>
      <c r="E372" s="12"/>
      <c r="F372" s="12" t="s">
        <v>55</v>
      </c>
      <c r="G372" s="12" t="s">
        <v>56</v>
      </c>
      <c r="H372" s="12" t="s">
        <v>259</v>
      </c>
      <c r="I372" s="12" t="s">
        <v>1955</v>
      </c>
      <c r="J372" s="12" t="s">
        <v>1956</v>
      </c>
      <c r="K372" s="12" t="s">
        <v>1935</v>
      </c>
      <c r="L372" s="18" t="s">
        <v>202</v>
      </c>
      <c r="M372" s="18" t="s">
        <v>1957</v>
      </c>
      <c r="N372" s="12" t="s">
        <v>1958</v>
      </c>
    </row>
    <row r="373" spans="1:14" ht="28.5" x14ac:dyDescent="0.35">
      <c r="A373" s="12" t="s">
        <v>1959</v>
      </c>
      <c r="B373" s="18" t="s">
        <v>1960</v>
      </c>
      <c r="C373" s="12" t="s">
        <v>122</v>
      </c>
      <c r="D373" s="12" t="s">
        <v>36</v>
      </c>
      <c r="E373" s="12"/>
      <c r="F373" s="12" t="s">
        <v>81</v>
      </c>
      <c r="G373" s="12" t="s">
        <v>82</v>
      </c>
      <c r="H373" s="12" t="s">
        <v>1961</v>
      </c>
      <c r="I373" s="12" t="s">
        <v>1962</v>
      </c>
      <c r="J373" s="12" t="s">
        <v>1963</v>
      </c>
      <c r="K373" s="12" t="s">
        <v>1935</v>
      </c>
      <c r="L373" s="18" t="s">
        <v>209</v>
      </c>
      <c r="M373" s="18" t="s">
        <v>1964</v>
      </c>
      <c r="N373" s="12" t="s">
        <v>1965</v>
      </c>
    </row>
    <row r="374" spans="1:14" ht="28.5" x14ac:dyDescent="0.35">
      <c r="A374" s="12" t="s">
        <v>1966</v>
      </c>
      <c r="B374" s="18" t="s">
        <v>1967</v>
      </c>
      <c r="C374" s="12" t="s">
        <v>122</v>
      </c>
      <c r="D374" s="12" t="s">
        <v>33</v>
      </c>
      <c r="E374" s="12"/>
      <c r="F374" s="12" t="s">
        <v>53</v>
      </c>
      <c r="G374" s="12" t="s">
        <v>54</v>
      </c>
      <c r="H374" s="12" t="s">
        <v>239</v>
      </c>
      <c r="I374" s="12" t="s">
        <v>1968</v>
      </c>
      <c r="J374" s="12" t="s">
        <v>1969</v>
      </c>
      <c r="K374" s="12" t="s">
        <v>1935</v>
      </c>
      <c r="L374" s="18" t="s">
        <v>202</v>
      </c>
      <c r="M374" s="18" t="s">
        <v>1970</v>
      </c>
      <c r="N374" s="12" t="s">
        <v>204</v>
      </c>
    </row>
    <row r="375" spans="1:14" ht="42.5" x14ac:dyDescent="0.35">
      <c r="A375" s="18" t="s">
        <v>2783</v>
      </c>
      <c r="B375" s="18" t="s">
        <v>2784</v>
      </c>
      <c r="C375" s="12" t="s">
        <v>122</v>
      </c>
      <c r="D375" s="18" t="s">
        <v>38</v>
      </c>
      <c r="E375" s="18"/>
      <c r="F375" s="12" t="s">
        <v>53</v>
      </c>
      <c r="G375" s="12" t="s">
        <v>54</v>
      </c>
      <c r="H375" s="12" t="s">
        <v>259</v>
      </c>
      <c r="I375" s="12" t="s">
        <v>1962</v>
      </c>
      <c r="J375" s="12" t="s">
        <v>1963</v>
      </c>
      <c r="K375" s="12" t="s">
        <v>1935</v>
      </c>
      <c r="L375" s="12" t="s">
        <v>216</v>
      </c>
      <c r="M375" s="18" t="s">
        <v>4731</v>
      </c>
      <c r="N375" s="18" t="s">
        <v>4732</v>
      </c>
    </row>
    <row r="376" spans="1:14" ht="28.5" x14ac:dyDescent="0.35">
      <c r="A376" s="12" t="s">
        <v>1971</v>
      </c>
      <c r="B376" s="18" t="s">
        <v>1972</v>
      </c>
      <c r="C376" s="12" t="s">
        <v>122</v>
      </c>
      <c r="D376" s="12" t="s">
        <v>33</v>
      </c>
      <c r="E376" s="12"/>
      <c r="F376" s="12" t="s">
        <v>57</v>
      </c>
      <c r="G376" s="12" t="s">
        <v>58</v>
      </c>
      <c r="H376" s="12" t="s">
        <v>198</v>
      </c>
      <c r="I376" s="12" t="s">
        <v>1973</v>
      </c>
      <c r="J376" s="12" t="s">
        <v>1974</v>
      </c>
      <c r="K376" s="12" t="s">
        <v>1975</v>
      </c>
      <c r="L376" s="18" t="s">
        <v>202</v>
      </c>
      <c r="M376" s="18" t="s">
        <v>1976</v>
      </c>
      <c r="N376" s="12" t="s">
        <v>204</v>
      </c>
    </row>
    <row r="377" spans="1:14" x14ac:dyDescent="0.35">
      <c r="A377" s="12" t="s">
        <v>1977</v>
      </c>
      <c r="B377" s="18" t="s">
        <v>1978</v>
      </c>
      <c r="C377" s="12" t="s">
        <v>122</v>
      </c>
      <c r="D377" s="12" t="s">
        <v>33</v>
      </c>
      <c r="E377" s="12"/>
      <c r="F377" s="12" t="s">
        <v>53</v>
      </c>
      <c r="G377" s="12" t="s">
        <v>54</v>
      </c>
      <c r="H377" s="12" t="s">
        <v>198</v>
      </c>
      <c r="I377" s="12" t="s">
        <v>1979</v>
      </c>
      <c r="J377" s="12" t="s">
        <v>1974</v>
      </c>
      <c r="K377" s="12" t="s">
        <v>1975</v>
      </c>
      <c r="L377" s="18" t="s">
        <v>202</v>
      </c>
      <c r="M377" s="18" t="s">
        <v>229</v>
      </c>
      <c r="N377" s="12" t="s">
        <v>204</v>
      </c>
    </row>
    <row r="378" spans="1:14" ht="42.5" x14ac:dyDescent="0.35">
      <c r="A378" s="12" t="s">
        <v>1980</v>
      </c>
      <c r="B378" s="18" t="s">
        <v>1981</v>
      </c>
      <c r="C378" s="12" t="s">
        <v>122</v>
      </c>
      <c r="D378" s="12" t="s">
        <v>33</v>
      </c>
      <c r="E378" s="12"/>
      <c r="F378" s="12" t="s">
        <v>53</v>
      </c>
      <c r="G378" s="12" t="s">
        <v>54</v>
      </c>
      <c r="H378" s="12" t="s">
        <v>259</v>
      </c>
      <c r="I378" s="12" t="s">
        <v>1982</v>
      </c>
      <c r="J378" s="12" t="s">
        <v>1983</v>
      </c>
      <c r="K378" s="12" t="s">
        <v>1975</v>
      </c>
      <c r="L378" s="18" t="s">
        <v>202</v>
      </c>
      <c r="M378" s="18" t="s">
        <v>229</v>
      </c>
      <c r="N378" s="12" t="s">
        <v>204</v>
      </c>
    </row>
    <row r="379" spans="1:14" x14ac:dyDescent="0.35">
      <c r="A379" s="12" t="s">
        <v>1984</v>
      </c>
      <c r="B379" s="18" t="s">
        <v>1985</v>
      </c>
      <c r="C379" s="12" t="s">
        <v>122</v>
      </c>
      <c r="D379" s="12" t="s">
        <v>33</v>
      </c>
      <c r="E379" s="12"/>
      <c r="F379" s="12" t="s">
        <v>61</v>
      </c>
      <c r="G379" s="12" t="s">
        <v>62</v>
      </c>
      <c r="H379" s="12" t="s">
        <v>198</v>
      </c>
      <c r="I379" s="12" t="s">
        <v>1986</v>
      </c>
      <c r="J379" s="12" t="s">
        <v>1987</v>
      </c>
      <c r="K379" s="12" t="s">
        <v>1988</v>
      </c>
      <c r="L379" s="18" t="s">
        <v>209</v>
      </c>
      <c r="M379" s="18" t="s">
        <v>1989</v>
      </c>
      <c r="N379" s="12" t="s">
        <v>1990</v>
      </c>
    </row>
    <row r="380" spans="1:14" x14ac:dyDescent="0.35">
      <c r="A380" s="12" t="s">
        <v>1991</v>
      </c>
      <c r="B380" s="18" t="s">
        <v>1992</v>
      </c>
      <c r="C380" s="12" t="s">
        <v>122</v>
      </c>
      <c r="D380" s="12" t="s">
        <v>33</v>
      </c>
      <c r="E380" s="12"/>
      <c r="F380" s="12" t="s">
        <v>61</v>
      </c>
      <c r="G380" s="12" t="s">
        <v>62</v>
      </c>
      <c r="H380" s="12" t="s">
        <v>198</v>
      </c>
      <c r="I380" s="12" t="s">
        <v>1986</v>
      </c>
      <c r="J380" s="12" t="s">
        <v>1987</v>
      </c>
      <c r="K380" s="12" t="s">
        <v>1988</v>
      </c>
      <c r="L380" s="18" t="s">
        <v>209</v>
      </c>
      <c r="M380" s="18" t="s">
        <v>1993</v>
      </c>
      <c r="N380" s="12" t="s">
        <v>1994</v>
      </c>
    </row>
    <row r="381" spans="1:14" ht="28.5" x14ac:dyDescent="0.35">
      <c r="A381" s="12" t="s">
        <v>1995</v>
      </c>
      <c r="B381" s="18" t="s">
        <v>1996</v>
      </c>
      <c r="C381" s="12" t="s">
        <v>122</v>
      </c>
      <c r="D381" s="12" t="s">
        <v>33</v>
      </c>
      <c r="E381" s="12"/>
      <c r="F381" s="12" t="s">
        <v>53</v>
      </c>
      <c r="G381" s="12" t="s">
        <v>54</v>
      </c>
      <c r="H381" s="12" t="s">
        <v>259</v>
      </c>
      <c r="I381" s="12" t="s">
        <v>1986</v>
      </c>
      <c r="J381" s="12" t="s">
        <v>1997</v>
      </c>
      <c r="K381" s="12" t="s">
        <v>1988</v>
      </c>
      <c r="L381" s="18" t="s">
        <v>694</v>
      </c>
      <c r="M381" s="18" t="s">
        <v>1998</v>
      </c>
      <c r="N381" s="12" t="s">
        <v>1999</v>
      </c>
    </row>
    <row r="382" spans="1:14" x14ac:dyDescent="0.35">
      <c r="A382" s="12" t="s">
        <v>2000</v>
      </c>
      <c r="B382" s="18" t="s">
        <v>2001</v>
      </c>
      <c r="C382" s="12" t="s">
        <v>122</v>
      </c>
      <c r="D382" s="12" t="s">
        <v>33</v>
      </c>
      <c r="E382" s="12"/>
      <c r="F382" s="12" t="s">
        <v>83</v>
      </c>
      <c r="G382" s="12" t="s">
        <v>84</v>
      </c>
      <c r="H382" s="12" t="s">
        <v>198</v>
      </c>
      <c r="I382" s="12" t="s">
        <v>2002</v>
      </c>
      <c r="J382" s="12" t="s">
        <v>2003</v>
      </c>
      <c r="K382" s="12" t="s">
        <v>2004</v>
      </c>
      <c r="L382" s="18" t="s">
        <v>202</v>
      </c>
      <c r="M382" s="18" t="s">
        <v>2005</v>
      </c>
      <c r="N382" s="12" t="s">
        <v>204</v>
      </c>
    </row>
    <row r="383" spans="1:14" ht="28.5" x14ac:dyDescent="0.35">
      <c r="A383" s="12" t="s">
        <v>2006</v>
      </c>
      <c r="B383" s="18" t="s">
        <v>2007</v>
      </c>
      <c r="C383" s="12" t="s">
        <v>122</v>
      </c>
      <c r="D383" s="12" t="s">
        <v>33</v>
      </c>
      <c r="E383" s="12"/>
      <c r="F383" s="12" t="s">
        <v>55</v>
      </c>
      <c r="G383" s="12" t="s">
        <v>56</v>
      </c>
      <c r="H383" s="12" t="s">
        <v>239</v>
      </c>
      <c r="I383" s="12" t="s">
        <v>2008</v>
      </c>
      <c r="J383" s="12" t="s">
        <v>2009</v>
      </c>
      <c r="K383" s="12" t="s">
        <v>2010</v>
      </c>
      <c r="L383" s="18" t="s">
        <v>202</v>
      </c>
      <c r="M383" s="18" t="s">
        <v>2011</v>
      </c>
      <c r="N383" s="12" t="s">
        <v>204</v>
      </c>
    </row>
    <row r="384" spans="1:14" ht="28.5" x14ac:dyDescent="0.35">
      <c r="A384" s="12" t="s">
        <v>2012</v>
      </c>
      <c r="B384" s="18" t="s">
        <v>2013</v>
      </c>
      <c r="C384" s="12" t="s">
        <v>122</v>
      </c>
      <c r="D384" s="12" t="s">
        <v>33</v>
      </c>
      <c r="E384" s="12"/>
      <c r="F384" s="12" t="s">
        <v>69</v>
      </c>
      <c r="G384" s="12" t="s">
        <v>70</v>
      </c>
      <c r="H384" s="12" t="s">
        <v>259</v>
      </c>
      <c r="I384" s="12" t="s">
        <v>2014</v>
      </c>
      <c r="J384" s="12" t="s">
        <v>2015</v>
      </c>
      <c r="K384" s="12" t="s">
        <v>2010</v>
      </c>
      <c r="L384" s="18" t="s">
        <v>202</v>
      </c>
      <c r="M384" s="18" t="s">
        <v>2016</v>
      </c>
      <c r="N384" s="12" t="s">
        <v>204</v>
      </c>
    </row>
    <row r="385" spans="1:14" x14ac:dyDescent="0.35">
      <c r="A385" s="12" t="s">
        <v>2017</v>
      </c>
      <c r="B385" s="18" t="s">
        <v>2018</v>
      </c>
      <c r="C385" s="12" t="s">
        <v>122</v>
      </c>
      <c r="D385" s="12" t="s">
        <v>33</v>
      </c>
      <c r="E385" s="12"/>
      <c r="F385" s="12" t="s">
        <v>53</v>
      </c>
      <c r="G385" s="12" t="s">
        <v>54</v>
      </c>
      <c r="H385" s="12" t="s">
        <v>198</v>
      </c>
      <c r="I385" s="12" t="s">
        <v>2019</v>
      </c>
      <c r="J385" s="12" t="s">
        <v>2020</v>
      </c>
      <c r="K385" s="12" t="s">
        <v>2021</v>
      </c>
      <c r="L385" s="18" t="s">
        <v>209</v>
      </c>
      <c r="M385" s="18" t="s">
        <v>2022</v>
      </c>
      <c r="N385" s="12" t="s">
        <v>2023</v>
      </c>
    </row>
    <row r="386" spans="1:14" ht="42.5" x14ac:dyDescent="0.35">
      <c r="A386" s="12" t="s">
        <v>2024</v>
      </c>
      <c r="B386" s="18" t="s">
        <v>2025</v>
      </c>
      <c r="C386" s="12" t="s">
        <v>122</v>
      </c>
      <c r="D386" s="12" t="s">
        <v>33</v>
      </c>
      <c r="E386" s="12"/>
      <c r="F386" s="12" t="s">
        <v>55</v>
      </c>
      <c r="G386" s="12" t="s">
        <v>56</v>
      </c>
      <c r="H386" s="12" t="s">
        <v>198</v>
      </c>
      <c r="I386" s="12" t="s">
        <v>2026</v>
      </c>
      <c r="J386" s="12" t="s">
        <v>2027</v>
      </c>
      <c r="K386" s="12" t="s">
        <v>2021</v>
      </c>
      <c r="L386" s="18" t="s">
        <v>202</v>
      </c>
      <c r="M386" s="18" t="s">
        <v>937</v>
      </c>
      <c r="N386" s="12" t="s">
        <v>204</v>
      </c>
    </row>
    <row r="387" spans="1:14" ht="28.5" x14ac:dyDescent="0.35">
      <c r="A387" s="12" t="s">
        <v>2028</v>
      </c>
      <c r="B387" s="18" t="s">
        <v>2029</v>
      </c>
      <c r="C387" s="12" t="s">
        <v>122</v>
      </c>
      <c r="D387" s="12" t="s">
        <v>33</v>
      </c>
      <c r="E387" s="12"/>
      <c r="F387" s="12" t="s">
        <v>55</v>
      </c>
      <c r="G387" s="12" t="s">
        <v>56</v>
      </c>
      <c r="H387" s="12" t="s">
        <v>198</v>
      </c>
      <c r="I387" s="12" t="s">
        <v>2030</v>
      </c>
      <c r="J387" s="12" t="s">
        <v>2031</v>
      </c>
      <c r="K387" s="12" t="s">
        <v>2021</v>
      </c>
      <c r="L387" s="18" t="s">
        <v>202</v>
      </c>
      <c r="M387" s="18" t="s">
        <v>2032</v>
      </c>
      <c r="N387" s="12" t="s">
        <v>204</v>
      </c>
    </row>
    <row r="388" spans="1:14" ht="28.5" x14ac:dyDescent="0.35">
      <c r="A388" s="12" t="s">
        <v>2033</v>
      </c>
      <c r="B388" s="18" t="s">
        <v>2034</v>
      </c>
      <c r="C388" s="12" t="s">
        <v>122</v>
      </c>
      <c r="D388" s="12" t="s">
        <v>38</v>
      </c>
      <c r="E388" s="12"/>
      <c r="F388" s="12" t="s">
        <v>53</v>
      </c>
      <c r="G388" s="12" t="s">
        <v>54</v>
      </c>
      <c r="H388" s="12" t="s">
        <v>198</v>
      </c>
      <c r="I388" s="12" t="s">
        <v>2035</v>
      </c>
      <c r="J388" s="12" t="s">
        <v>2036</v>
      </c>
      <c r="K388" s="12" t="s">
        <v>2021</v>
      </c>
      <c r="L388" s="18" t="s">
        <v>209</v>
      </c>
      <c r="M388" s="18" t="s">
        <v>2037</v>
      </c>
      <c r="N388" s="12" t="s">
        <v>2038</v>
      </c>
    </row>
    <row r="389" spans="1:14" ht="28.5" x14ac:dyDescent="0.35">
      <c r="A389" s="12" t="s">
        <v>2039</v>
      </c>
      <c r="B389" s="18" t="s">
        <v>1379</v>
      </c>
      <c r="C389" s="12" t="s">
        <v>122</v>
      </c>
      <c r="D389" s="12" t="s">
        <v>33</v>
      </c>
      <c r="E389" s="12"/>
      <c r="F389" s="12" t="s">
        <v>55</v>
      </c>
      <c r="G389" s="12" t="s">
        <v>56</v>
      </c>
      <c r="H389" s="12" t="s">
        <v>239</v>
      </c>
      <c r="I389" s="12" t="s">
        <v>2040</v>
      </c>
      <c r="J389" s="12" t="s">
        <v>2041</v>
      </c>
      <c r="K389" s="12" t="s">
        <v>2021</v>
      </c>
      <c r="L389" s="18" t="s">
        <v>202</v>
      </c>
      <c r="M389" s="18" t="s">
        <v>2042</v>
      </c>
      <c r="N389" s="12" t="s">
        <v>204</v>
      </c>
    </row>
    <row r="390" spans="1:14" ht="28.5" x14ac:dyDescent="0.35">
      <c r="A390" s="12" t="s">
        <v>2043</v>
      </c>
      <c r="B390" s="18" t="s">
        <v>2044</v>
      </c>
      <c r="C390" s="12" t="s">
        <v>122</v>
      </c>
      <c r="D390" s="12" t="s">
        <v>33</v>
      </c>
      <c r="E390" s="12"/>
      <c r="F390" s="12" t="s">
        <v>53</v>
      </c>
      <c r="G390" s="12" t="s">
        <v>54</v>
      </c>
      <c r="H390" s="12" t="s">
        <v>259</v>
      </c>
      <c r="I390" s="12" t="s">
        <v>2045</v>
      </c>
      <c r="J390" s="12" t="s">
        <v>2046</v>
      </c>
      <c r="K390" s="12" t="s">
        <v>2021</v>
      </c>
      <c r="L390" s="18" t="s">
        <v>209</v>
      </c>
      <c r="M390" s="18" t="s">
        <v>2047</v>
      </c>
      <c r="N390" s="12" t="s">
        <v>2048</v>
      </c>
    </row>
    <row r="391" spans="1:14" ht="28.5" x14ac:dyDescent="0.35">
      <c r="A391" s="18" t="s">
        <v>2785</v>
      </c>
      <c r="B391" s="18" t="s">
        <v>2786</v>
      </c>
      <c r="C391" s="12" t="s">
        <v>122</v>
      </c>
      <c r="D391" s="18" t="s">
        <v>33</v>
      </c>
      <c r="E391" s="18"/>
      <c r="F391" s="12" t="s">
        <v>55</v>
      </c>
      <c r="G391" s="12" t="s">
        <v>56</v>
      </c>
      <c r="H391" s="12" t="s">
        <v>198</v>
      </c>
      <c r="I391" s="12" t="s">
        <v>2787</v>
      </c>
      <c r="J391" s="12" t="s">
        <v>2788</v>
      </c>
      <c r="K391" s="12" t="s">
        <v>2021</v>
      </c>
      <c r="L391" s="12" t="s">
        <v>216</v>
      </c>
      <c r="M391" s="18" t="s">
        <v>4733</v>
      </c>
      <c r="N391" s="18" t="s">
        <v>4734</v>
      </c>
    </row>
    <row r="392" spans="1:14" ht="28.5" x14ac:dyDescent="0.35">
      <c r="A392" s="12" t="s">
        <v>2049</v>
      </c>
      <c r="B392" s="18" t="s">
        <v>2050</v>
      </c>
      <c r="C392" s="12" t="s">
        <v>122</v>
      </c>
      <c r="D392" s="12" t="s">
        <v>33</v>
      </c>
      <c r="E392" s="12"/>
      <c r="F392" s="12" t="s">
        <v>55</v>
      </c>
      <c r="G392" s="12" t="s">
        <v>56</v>
      </c>
      <c r="H392" s="12" t="s">
        <v>259</v>
      </c>
      <c r="I392" s="12" t="s">
        <v>2051</v>
      </c>
      <c r="J392" s="12" t="s">
        <v>2052</v>
      </c>
      <c r="K392" s="12" t="s">
        <v>2021</v>
      </c>
      <c r="L392" s="18" t="s">
        <v>209</v>
      </c>
      <c r="M392" s="18" t="s">
        <v>2053</v>
      </c>
      <c r="N392" s="12" t="s">
        <v>2054</v>
      </c>
    </row>
    <row r="393" spans="1:14" x14ac:dyDescent="0.35">
      <c r="A393" s="12" t="s">
        <v>2055</v>
      </c>
      <c r="B393" s="18" t="s">
        <v>2056</v>
      </c>
      <c r="C393" s="12" t="s">
        <v>122</v>
      </c>
      <c r="D393" s="12" t="s">
        <v>33</v>
      </c>
      <c r="E393" s="12"/>
      <c r="F393" s="12" t="s">
        <v>59</v>
      </c>
      <c r="G393" s="12" t="s">
        <v>60</v>
      </c>
      <c r="H393" s="12" t="s">
        <v>198</v>
      </c>
      <c r="I393" s="12" t="s">
        <v>2019</v>
      </c>
      <c r="J393" s="12" t="s">
        <v>2020</v>
      </c>
      <c r="K393" s="12" t="s">
        <v>2021</v>
      </c>
      <c r="L393" s="18" t="s">
        <v>694</v>
      </c>
      <c r="M393" s="18" t="s">
        <v>2057</v>
      </c>
      <c r="N393" s="12" t="s">
        <v>2058</v>
      </c>
    </row>
    <row r="394" spans="1:14" x14ac:dyDescent="0.35">
      <c r="A394" s="12" t="s">
        <v>2059</v>
      </c>
      <c r="B394" s="18" t="s">
        <v>2060</v>
      </c>
      <c r="C394" s="12" t="s">
        <v>122</v>
      </c>
      <c r="D394" s="12" t="s">
        <v>33</v>
      </c>
      <c r="E394" s="12"/>
      <c r="F394" s="12" t="s">
        <v>61</v>
      </c>
      <c r="G394" s="12" t="s">
        <v>62</v>
      </c>
      <c r="H394" s="12" t="s">
        <v>198</v>
      </c>
      <c r="I394" s="12" t="s">
        <v>2061</v>
      </c>
      <c r="J394" s="12" t="s">
        <v>2062</v>
      </c>
      <c r="K394" s="12" t="s">
        <v>2021</v>
      </c>
      <c r="L394" s="18" t="s">
        <v>202</v>
      </c>
      <c r="M394" s="18" t="s">
        <v>318</v>
      </c>
      <c r="N394" s="12" t="s">
        <v>204</v>
      </c>
    </row>
    <row r="395" spans="1:14" x14ac:dyDescent="0.35">
      <c r="A395" s="12" t="s">
        <v>2063</v>
      </c>
      <c r="B395" s="18" t="s">
        <v>2064</v>
      </c>
      <c r="C395" s="12" t="s">
        <v>122</v>
      </c>
      <c r="D395" s="12" t="s">
        <v>33</v>
      </c>
      <c r="E395" s="12"/>
      <c r="F395" s="12" t="s">
        <v>53</v>
      </c>
      <c r="G395" s="12" t="s">
        <v>54</v>
      </c>
      <c r="H395" s="12" t="s">
        <v>259</v>
      </c>
      <c r="I395" s="12" t="s">
        <v>2065</v>
      </c>
      <c r="J395" s="12" t="s">
        <v>2066</v>
      </c>
      <c r="K395" s="12" t="s">
        <v>2067</v>
      </c>
      <c r="L395" s="18" t="s">
        <v>202</v>
      </c>
      <c r="M395" s="18" t="s">
        <v>229</v>
      </c>
      <c r="N395" s="12" t="s">
        <v>204</v>
      </c>
    </row>
    <row r="396" spans="1:14" ht="56.5" x14ac:dyDescent="0.35">
      <c r="A396" s="12" t="s">
        <v>2068</v>
      </c>
      <c r="B396" s="18" t="s">
        <v>2069</v>
      </c>
      <c r="C396" s="12" t="s">
        <v>122</v>
      </c>
      <c r="D396" s="12" t="s">
        <v>33</v>
      </c>
      <c r="E396" s="12"/>
      <c r="F396" s="12" t="s">
        <v>71</v>
      </c>
      <c r="G396" s="12" t="s">
        <v>72</v>
      </c>
      <c r="H396" s="12" t="s">
        <v>198</v>
      </c>
      <c r="I396" s="12" t="s">
        <v>2070</v>
      </c>
      <c r="J396" s="12" t="s">
        <v>2071</v>
      </c>
      <c r="K396" s="12" t="s">
        <v>2072</v>
      </c>
      <c r="L396" s="18" t="s">
        <v>202</v>
      </c>
      <c r="M396" s="18" t="s">
        <v>2073</v>
      </c>
      <c r="N396" s="12" t="s">
        <v>204</v>
      </c>
    </row>
    <row r="397" spans="1:14" ht="28.5" x14ac:dyDescent="0.35">
      <c r="A397" s="12" t="s">
        <v>2074</v>
      </c>
      <c r="B397" s="18" t="s">
        <v>2075</v>
      </c>
      <c r="C397" s="12" t="s">
        <v>122</v>
      </c>
      <c r="D397" s="12" t="s">
        <v>33</v>
      </c>
      <c r="E397" s="12"/>
      <c r="F397" s="12" t="s">
        <v>69</v>
      </c>
      <c r="G397" s="12" t="s">
        <v>70</v>
      </c>
      <c r="H397" s="12" t="s">
        <v>259</v>
      </c>
      <c r="I397" s="12" t="s">
        <v>2076</v>
      </c>
      <c r="J397" s="12" t="s">
        <v>2077</v>
      </c>
      <c r="K397" s="12" t="s">
        <v>2072</v>
      </c>
      <c r="L397" s="18" t="s">
        <v>202</v>
      </c>
      <c r="M397" s="18" t="s">
        <v>2078</v>
      </c>
      <c r="N397" s="12" t="s">
        <v>204</v>
      </c>
    </row>
    <row r="398" spans="1:14" ht="42.5" x14ac:dyDescent="0.35">
      <c r="A398" s="18" t="s">
        <v>2789</v>
      </c>
      <c r="B398" s="18" t="s">
        <v>2790</v>
      </c>
      <c r="C398" s="12" t="s">
        <v>122</v>
      </c>
      <c r="D398" s="18" t="s">
        <v>33</v>
      </c>
      <c r="E398" s="18"/>
      <c r="F398" s="12" t="s">
        <v>55</v>
      </c>
      <c r="G398" s="12" t="s">
        <v>56</v>
      </c>
      <c r="H398" s="12" t="s">
        <v>259</v>
      </c>
      <c r="I398" s="12" t="s">
        <v>2791</v>
      </c>
      <c r="J398" s="12" t="s">
        <v>2090</v>
      </c>
      <c r="K398" s="12" t="s">
        <v>2072</v>
      </c>
      <c r="L398" s="12" t="s">
        <v>216</v>
      </c>
      <c r="M398" s="18" t="s">
        <v>4735</v>
      </c>
      <c r="N398" s="18" t="s">
        <v>4736</v>
      </c>
    </row>
    <row r="399" spans="1:14" ht="56.5" x14ac:dyDescent="0.35">
      <c r="A399" s="12" t="s">
        <v>2079</v>
      </c>
      <c r="B399" s="18" t="s">
        <v>2080</v>
      </c>
      <c r="C399" s="12" t="s">
        <v>122</v>
      </c>
      <c r="D399" s="12" t="s">
        <v>33</v>
      </c>
      <c r="E399" s="12"/>
      <c r="F399" s="12" t="s">
        <v>55</v>
      </c>
      <c r="G399" s="12" t="s">
        <v>56</v>
      </c>
      <c r="H399" s="12" t="s">
        <v>259</v>
      </c>
      <c r="I399" s="12" t="s">
        <v>2081</v>
      </c>
      <c r="J399" s="12" t="s">
        <v>2082</v>
      </c>
      <c r="K399" s="12" t="s">
        <v>2072</v>
      </c>
      <c r="L399" s="18" t="s">
        <v>202</v>
      </c>
      <c r="M399" s="18" t="s">
        <v>1454</v>
      </c>
      <c r="N399" s="12" t="s">
        <v>204</v>
      </c>
    </row>
    <row r="400" spans="1:14" ht="28.5" x14ac:dyDescent="0.35">
      <c r="A400" s="12" t="s">
        <v>2083</v>
      </c>
      <c r="B400" s="18" t="s">
        <v>2084</v>
      </c>
      <c r="C400" s="12" t="s">
        <v>122</v>
      </c>
      <c r="D400" s="12" t="s">
        <v>33</v>
      </c>
      <c r="E400" s="12"/>
      <c r="F400" s="12" t="s">
        <v>53</v>
      </c>
      <c r="G400" s="12" t="s">
        <v>54</v>
      </c>
      <c r="H400" s="12" t="s">
        <v>259</v>
      </c>
      <c r="I400" s="12" t="s">
        <v>2085</v>
      </c>
      <c r="J400" s="12" t="s">
        <v>2086</v>
      </c>
      <c r="K400" s="12" t="s">
        <v>2072</v>
      </c>
      <c r="L400" s="18" t="s">
        <v>202</v>
      </c>
      <c r="M400" s="18" t="s">
        <v>229</v>
      </c>
      <c r="N400" s="12" t="s">
        <v>204</v>
      </c>
    </row>
    <row r="401" spans="1:14" ht="42.5" x14ac:dyDescent="0.35">
      <c r="A401" s="12" t="s">
        <v>2087</v>
      </c>
      <c r="B401" s="18" t="s">
        <v>2088</v>
      </c>
      <c r="C401" s="12" t="s">
        <v>122</v>
      </c>
      <c r="D401" s="12" t="s">
        <v>33</v>
      </c>
      <c r="E401" s="12"/>
      <c r="F401" s="12" t="s">
        <v>55</v>
      </c>
      <c r="G401" s="12" t="s">
        <v>56</v>
      </c>
      <c r="H401" s="12" t="s">
        <v>239</v>
      </c>
      <c r="I401" s="12" t="s">
        <v>2089</v>
      </c>
      <c r="J401" s="12" t="s">
        <v>2090</v>
      </c>
      <c r="K401" s="12" t="s">
        <v>2072</v>
      </c>
      <c r="L401" s="18" t="s">
        <v>202</v>
      </c>
      <c r="M401" s="18" t="s">
        <v>937</v>
      </c>
      <c r="N401" s="12" t="s">
        <v>204</v>
      </c>
    </row>
    <row r="402" spans="1:14" ht="28.5" x14ac:dyDescent="0.35">
      <c r="A402" s="12" t="s">
        <v>2091</v>
      </c>
      <c r="B402" s="18" t="s">
        <v>2092</v>
      </c>
      <c r="C402" s="12" t="s">
        <v>122</v>
      </c>
      <c r="D402" s="12" t="s">
        <v>33</v>
      </c>
      <c r="E402" s="12"/>
      <c r="F402" s="12" t="s">
        <v>53</v>
      </c>
      <c r="G402" s="12" t="s">
        <v>54</v>
      </c>
      <c r="H402" s="12" t="s">
        <v>259</v>
      </c>
      <c r="I402" s="12" t="s">
        <v>2093</v>
      </c>
      <c r="J402" s="12" t="s">
        <v>2094</v>
      </c>
      <c r="K402" s="12" t="s">
        <v>2072</v>
      </c>
      <c r="L402" s="18" t="s">
        <v>202</v>
      </c>
      <c r="M402" s="18" t="s">
        <v>2095</v>
      </c>
      <c r="N402" s="12" t="s">
        <v>204</v>
      </c>
    </row>
    <row r="403" spans="1:14" x14ac:dyDescent="0.35">
      <c r="A403" s="12" t="s">
        <v>2096</v>
      </c>
      <c r="B403" s="18" t="s">
        <v>2097</v>
      </c>
      <c r="C403" s="12" t="s">
        <v>122</v>
      </c>
      <c r="D403" s="12" t="s">
        <v>33</v>
      </c>
      <c r="E403" s="12"/>
      <c r="F403" s="12" t="s">
        <v>55</v>
      </c>
      <c r="G403" s="12" t="s">
        <v>56</v>
      </c>
      <c r="H403" s="12" t="s">
        <v>259</v>
      </c>
      <c r="I403" s="12" t="s">
        <v>2098</v>
      </c>
      <c r="J403" s="12" t="s">
        <v>2099</v>
      </c>
      <c r="K403" s="12" t="s">
        <v>2100</v>
      </c>
      <c r="L403" s="18" t="s">
        <v>202</v>
      </c>
      <c r="M403" s="18" t="s">
        <v>371</v>
      </c>
      <c r="N403" s="12" t="s">
        <v>204</v>
      </c>
    </row>
    <row r="404" spans="1:14" ht="70.5" x14ac:dyDescent="0.35">
      <c r="A404" s="12" t="s">
        <v>2101</v>
      </c>
      <c r="B404" s="18" t="s">
        <v>2102</v>
      </c>
      <c r="C404" s="12" t="s">
        <v>122</v>
      </c>
      <c r="D404" s="12" t="s">
        <v>33</v>
      </c>
      <c r="E404" s="12"/>
      <c r="F404" s="12" t="s">
        <v>53</v>
      </c>
      <c r="G404" s="12" t="s">
        <v>54</v>
      </c>
      <c r="H404" s="12" t="s">
        <v>239</v>
      </c>
      <c r="I404" s="12" t="s">
        <v>2103</v>
      </c>
      <c r="J404" s="12" t="s">
        <v>2104</v>
      </c>
      <c r="K404" s="12" t="s">
        <v>2105</v>
      </c>
      <c r="L404" s="18" t="s">
        <v>202</v>
      </c>
      <c r="M404" s="18" t="s">
        <v>229</v>
      </c>
      <c r="N404" s="12" t="s">
        <v>204</v>
      </c>
    </row>
    <row r="405" spans="1:14" x14ac:dyDescent="0.35">
      <c r="A405" s="12" t="s">
        <v>2106</v>
      </c>
      <c r="B405" s="18" t="s">
        <v>2107</v>
      </c>
      <c r="C405" s="12" t="s">
        <v>122</v>
      </c>
      <c r="D405" s="12" t="s">
        <v>33</v>
      </c>
      <c r="E405" s="12"/>
      <c r="F405" s="12" t="s">
        <v>57</v>
      </c>
      <c r="G405" s="12" t="s">
        <v>58</v>
      </c>
      <c r="H405" s="12" t="s">
        <v>259</v>
      </c>
      <c r="I405" s="12" t="s">
        <v>2108</v>
      </c>
      <c r="J405" s="12" t="s">
        <v>2109</v>
      </c>
      <c r="K405" s="12" t="s">
        <v>2105</v>
      </c>
      <c r="L405" s="18" t="s">
        <v>202</v>
      </c>
      <c r="M405" s="18" t="s">
        <v>414</v>
      </c>
      <c r="N405" s="12" t="s">
        <v>204</v>
      </c>
    </row>
    <row r="406" spans="1:14" x14ac:dyDescent="0.35">
      <c r="A406" s="12" t="s">
        <v>2110</v>
      </c>
      <c r="B406" s="18" t="s">
        <v>2111</v>
      </c>
      <c r="C406" s="12" t="s">
        <v>122</v>
      </c>
      <c r="D406" s="12" t="s">
        <v>33</v>
      </c>
      <c r="E406" s="12"/>
      <c r="F406" s="12" t="s">
        <v>53</v>
      </c>
      <c r="G406" s="12" t="s">
        <v>54</v>
      </c>
      <c r="H406" s="12" t="s">
        <v>198</v>
      </c>
      <c r="I406" s="12" t="s">
        <v>2112</v>
      </c>
      <c r="J406" s="12" t="s">
        <v>2113</v>
      </c>
      <c r="K406" s="12" t="s">
        <v>2105</v>
      </c>
      <c r="L406" s="18" t="s">
        <v>202</v>
      </c>
      <c r="M406" s="18" t="s">
        <v>229</v>
      </c>
      <c r="N406" s="12" t="s">
        <v>204</v>
      </c>
    </row>
    <row r="407" spans="1:14" x14ac:dyDescent="0.35">
      <c r="A407" s="12" t="s">
        <v>2114</v>
      </c>
      <c r="B407" s="18" t="s">
        <v>2115</v>
      </c>
      <c r="C407" s="12" t="s">
        <v>122</v>
      </c>
      <c r="D407" s="12" t="s">
        <v>33</v>
      </c>
      <c r="E407" s="12"/>
      <c r="F407" s="12" t="s">
        <v>63</v>
      </c>
      <c r="G407" s="12" t="s">
        <v>64</v>
      </c>
      <c r="H407" s="12" t="s">
        <v>198</v>
      </c>
      <c r="I407" s="12" t="s">
        <v>2116</v>
      </c>
      <c r="J407" s="12" t="s">
        <v>2117</v>
      </c>
      <c r="K407" s="12" t="s">
        <v>2118</v>
      </c>
      <c r="L407" s="18" t="s">
        <v>209</v>
      </c>
      <c r="M407" s="18" t="s">
        <v>2119</v>
      </c>
      <c r="N407" s="12" t="s">
        <v>2120</v>
      </c>
    </row>
    <row r="408" spans="1:14" ht="42.5" x14ac:dyDescent="0.35">
      <c r="A408" s="12" t="s">
        <v>2121</v>
      </c>
      <c r="B408" s="18" t="s">
        <v>2122</v>
      </c>
      <c r="C408" s="12" t="s">
        <v>122</v>
      </c>
      <c r="D408" s="12" t="s">
        <v>33</v>
      </c>
      <c r="E408" s="12"/>
      <c r="F408" s="12" t="s">
        <v>57</v>
      </c>
      <c r="G408" s="12" t="s">
        <v>58</v>
      </c>
      <c r="H408" s="12" t="s">
        <v>239</v>
      </c>
      <c r="I408" s="12" t="s">
        <v>2123</v>
      </c>
      <c r="J408" s="12" t="s">
        <v>2124</v>
      </c>
      <c r="K408" s="12" t="s">
        <v>2125</v>
      </c>
      <c r="L408" s="18" t="s">
        <v>202</v>
      </c>
      <c r="M408" s="18" t="s">
        <v>2126</v>
      </c>
      <c r="N408" s="12" t="s">
        <v>204</v>
      </c>
    </row>
    <row r="409" spans="1:14" ht="28.5" x14ac:dyDescent="0.35">
      <c r="A409" s="12" t="s">
        <v>2127</v>
      </c>
      <c r="B409" s="18" t="s">
        <v>2128</v>
      </c>
      <c r="C409" s="12" t="s">
        <v>122</v>
      </c>
      <c r="D409" s="12" t="s">
        <v>33</v>
      </c>
      <c r="E409" s="12"/>
      <c r="F409" s="12" t="s">
        <v>57</v>
      </c>
      <c r="G409" s="12" t="s">
        <v>58</v>
      </c>
      <c r="H409" s="12" t="s">
        <v>198</v>
      </c>
      <c r="I409" s="12" t="s">
        <v>2129</v>
      </c>
      <c r="J409" s="12" t="s">
        <v>2130</v>
      </c>
      <c r="K409" s="12" t="s">
        <v>2131</v>
      </c>
      <c r="L409" s="18" t="s">
        <v>694</v>
      </c>
      <c r="M409" s="18" t="s">
        <v>2132</v>
      </c>
      <c r="N409" s="12" t="s">
        <v>2133</v>
      </c>
    </row>
    <row r="410" spans="1:14" ht="42.5" x14ac:dyDescent="0.35">
      <c r="A410" s="12" t="s">
        <v>2134</v>
      </c>
      <c r="B410" s="18" t="s">
        <v>2135</v>
      </c>
      <c r="C410" s="12" t="s">
        <v>122</v>
      </c>
      <c r="D410" s="12" t="s">
        <v>33</v>
      </c>
      <c r="E410" s="12"/>
      <c r="F410" s="12" t="s">
        <v>55</v>
      </c>
      <c r="G410" s="12" t="s">
        <v>56</v>
      </c>
      <c r="H410" s="12" t="s">
        <v>198</v>
      </c>
      <c r="I410" s="12" t="s">
        <v>2136</v>
      </c>
      <c r="J410" s="12" t="s">
        <v>2137</v>
      </c>
      <c r="K410" s="12" t="s">
        <v>2131</v>
      </c>
      <c r="L410" s="18" t="s">
        <v>202</v>
      </c>
      <c r="M410" s="18" t="s">
        <v>2138</v>
      </c>
      <c r="N410" s="12" t="s">
        <v>204</v>
      </c>
    </row>
    <row r="411" spans="1:14" x14ac:dyDescent="0.35">
      <c r="A411" s="12" t="s">
        <v>2139</v>
      </c>
      <c r="B411" s="18" t="s">
        <v>2140</v>
      </c>
      <c r="C411" s="12" t="s">
        <v>122</v>
      </c>
      <c r="D411" s="12" t="s">
        <v>33</v>
      </c>
      <c r="E411" s="12"/>
      <c r="F411" s="12" t="s">
        <v>53</v>
      </c>
      <c r="G411" s="12" t="s">
        <v>54</v>
      </c>
      <c r="H411" s="12" t="s">
        <v>198</v>
      </c>
      <c r="I411" s="12" t="s">
        <v>2141</v>
      </c>
      <c r="J411" s="12" t="s">
        <v>2142</v>
      </c>
      <c r="K411" s="12" t="s">
        <v>2131</v>
      </c>
      <c r="L411" s="18" t="s">
        <v>202</v>
      </c>
      <c r="M411" s="18" t="s">
        <v>229</v>
      </c>
      <c r="N411" s="12" t="s">
        <v>204</v>
      </c>
    </row>
    <row r="412" spans="1:14" x14ac:dyDescent="0.35">
      <c r="A412" s="12" t="s">
        <v>2143</v>
      </c>
      <c r="B412" s="18" t="s">
        <v>2144</v>
      </c>
      <c r="C412" s="12" t="s">
        <v>122</v>
      </c>
      <c r="D412" s="12" t="s">
        <v>33</v>
      </c>
      <c r="E412" s="12"/>
      <c r="F412" s="12" t="s">
        <v>61</v>
      </c>
      <c r="G412" s="12" t="s">
        <v>62</v>
      </c>
      <c r="H412" s="12" t="s">
        <v>198</v>
      </c>
      <c r="I412" s="12" t="s">
        <v>2145</v>
      </c>
      <c r="J412" s="12" t="s">
        <v>2146</v>
      </c>
      <c r="K412" s="12" t="s">
        <v>2131</v>
      </c>
      <c r="L412" s="18" t="s">
        <v>209</v>
      </c>
      <c r="M412" s="18" t="s">
        <v>2147</v>
      </c>
      <c r="N412" s="12" t="s">
        <v>2148</v>
      </c>
    </row>
    <row r="413" spans="1:14" ht="28.5" x14ac:dyDescent="0.35">
      <c r="A413" s="12" t="s">
        <v>2149</v>
      </c>
      <c r="B413" s="18" t="s">
        <v>2150</v>
      </c>
      <c r="C413" s="12" t="s">
        <v>122</v>
      </c>
      <c r="D413" s="12" t="s">
        <v>33</v>
      </c>
      <c r="E413" s="12"/>
      <c r="F413" s="12" t="s">
        <v>53</v>
      </c>
      <c r="G413" s="12" t="s">
        <v>54</v>
      </c>
      <c r="H413" s="12" t="s">
        <v>198</v>
      </c>
      <c r="I413" s="12" t="s">
        <v>2151</v>
      </c>
      <c r="J413" s="12" t="s">
        <v>2152</v>
      </c>
      <c r="K413" s="12" t="s">
        <v>2131</v>
      </c>
      <c r="L413" s="18" t="s">
        <v>202</v>
      </c>
      <c r="M413" s="18" t="s">
        <v>229</v>
      </c>
      <c r="N413" s="12" t="s">
        <v>204</v>
      </c>
    </row>
    <row r="414" spans="1:14" x14ac:dyDescent="0.35">
      <c r="A414" s="12" t="s">
        <v>2153</v>
      </c>
      <c r="B414" s="18" t="s">
        <v>2154</v>
      </c>
      <c r="C414" s="12" t="s">
        <v>122</v>
      </c>
      <c r="D414" s="12" t="s">
        <v>33</v>
      </c>
      <c r="E414" s="12"/>
      <c r="F414" s="12" t="s">
        <v>53</v>
      </c>
      <c r="G414" s="12" t="s">
        <v>54</v>
      </c>
      <c r="H414" s="12" t="s">
        <v>259</v>
      </c>
      <c r="I414" s="12" t="s">
        <v>2155</v>
      </c>
      <c r="J414" s="12" t="s">
        <v>2156</v>
      </c>
      <c r="K414" s="12" t="s">
        <v>2131</v>
      </c>
      <c r="L414" s="18" t="s">
        <v>209</v>
      </c>
      <c r="M414" s="18" t="s">
        <v>2157</v>
      </c>
      <c r="N414" s="12" t="s">
        <v>2158</v>
      </c>
    </row>
    <row r="415" spans="1:14" x14ac:dyDescent="0.35">
      <c r="A415" s="12" t="s">
        <v>2159</v>
      </c>
      <c r="B415" s="18" t="s">
        <v>2160</v>
      </c>
      <c r="C415" s="12" t="s">
        <v>122</v>
      </c>
      <c r="D415" s="12" t="s">
        <v>33</v>
      </c>
      <c r="E415" s="12"/>
      <c r="F415" s="12" t="s">
        <v>53</v>
      </c>
      <c r="G415" s="12" t="s">
        <v>54</v>
      </c>
      <c r="H415" s="12" t="s">
        <v>198</v>
      </c>
      <c r="I415" s="12" t="s">
        <v>2151</v>
      </c>
      <c r="J415" s="12" t="s">
        <v>2152</v>
      </c>
      <c r="K415" s="12" t="s">
        <v>2131</v>
      </c>
      <c r="L415" s="18" t="s">
        <v>209</v>
      </c>
      <c r="M415" s="18" t="s">
        <v>2161</v>
      </c>
      <c r="N415" s="12" t="s">
        <v>2162</v>
      </c>
    </row>
    <row r="416" spans="1:14" ht="28.5" x14ac:dyDescent="0.35">
      <c r="A416" s="12" t="s">
        <v>2163</v>
      </c>
      <c r="B416" s="18" t="s">
        <v>2164</v>
      </c>
      <c r="C416" s="12" t="s">
        <v>122</v>
      </c>
      <c r="D416" s="12" t="s">
        <v>36</v>
      </c>
      <c r="E416" s="12"/>
      <c r="F416" s="12" t="s">
        <v>81</v>
      </c>
      <c r="G416" s="12" t="s">
        <v>82</v>
      </c>
      <c r="H416" s="12" t="s">
        <v>239</v>
      </c>
      <c r="I416" s="12" t="s">
        <v>2165</v>
      </c>
      <c r="J416" s="12" t="s">
        <v>2166</v>
      </c>
      <c r="K416" s="12" t="s">
        <v>2131</v>
      </c>
      <c r="L416" s="18" t="s">
        <v>209</v>
      </c>
      <c r="M416" s="18" t="s">
        <v>2167</v>
      </c>
      <c r="N416" s="12" t="s">
        <v>2168</v>
      </c>
    </row>
    <row r="417" spans="1:14" x14ac:dyDescent="0.35">
      <c r="A417" s="12" t="s">
        <v>2169</v>
      </c>
      <c r="B417" s="18" t="s">
        <v>2170</v>
      </c>
      <c r="C417" s="12" t="s">
        <v>122</v>
      </c>
      <c r="D417" s="12" t="s">
        <v>33</v>
      </c>
      <c r="E417" s="12"/>
      <c r="F417" s="12" t="s">
        <v>53</v>
      </c>
      <c r="G417" s="12" t="s">
        <v>54</v>
      </c>
      <c r="H417" s="12" t="s">
        <v>259</v>
      </c>
      <c r="I417" s="12" t="s">
        <v>2136</v>
      </c>
      <c r="J417" s="12" t="s">
        <v>2137</v>
      </c>
      <c r="K417" s="12" t="s">
        <v>2131</v>
      </c>
      <c r="L417" s="18" t="s">
        <v>202</v>
      </c>
      <c r="M417" s="18" t="s">
        <v>229</v>
      </c>
      <c r="N417" s="12" t="s">
        <v>204</v>
      </c>
    </row>
    <row r="418" spans="1:14" ht="28.5" x14ac:dyDescent="0.35">
      <c r="A418" s="12" t="s">
        <v>2171</v>
      </c>
      <c r="B418" s="18" t="s">
        <v>2172</v>
      </c>
      <c r="C418" s="12" t="s">
        <v>122</v>
      </c>
      <c r="D418" s="12" t="s">
        <v>33</v>
      </c>
      <c r="E418" s="12"/>
      <c r="F418" s="12" t="s">
        <v>53</v>
      </c>
      <c r="G418" s="12" t="s">
        <v>54</v>
      </c>
      <c r="H418" s="12" t="s">
        <v>259</v>
      </c>
      <c r="I418" s="12" t="s">
        <v>2173</v>
      </c>
      <c r="J418" s="12" t="s">
        <v>2174</v>
      </c>
      <c r="K418" s="12" t="s">
        <v>2131</v>
      </c>
      <c r="L418" s="18" t="s">
        <v>209</v>
      </c>
      <c r="M418" s="18" t="s">
        <v>2175</v>
      </c>
      <c r="N418" s="12" t="s">
        <v>2176</v>
      </c>
    </row>
    <row r="419" spans="1:14" ht="42.5" x14ac:dyDescent="0.35">
      <c r="A419" s="12" t="s">
        <v>2177</v>
      </c>
      <c r="B419" s="18" t="s">
        <v>2178</v>
      </c>
      <c r="C419" s="12" t="s">
        <v>122</v>
      </c>
      <c r="D419" s="12" t="s">
        <v>33</v>
      </c>
      <c r="E419" s="12"/>
      <c r="F419" s="12" t="s">
        <v>53</v>
      </c>
      <c r="G419" s="12" t="s">
        <v>54</v>
      </c>
      <c r="H419" s="12" t="s">
        <v>239</v>
      </c>
      <c r="I419" s="12" t="s">
        <v>2179</v>
      </c>
      <c r="J419" s="12" t="s">
        <v>2180</v>
      </c>
      <c r="K419" s="12" t="s">
        <v>2131</v>
      </c>
      <c r="L419" s="18" t="s">
        <v>202</v>
      </c>
      <c r="M419" s="18" t="s">
        <v>229</v>
      </c>
      <c r="N419" s="12" t="s">
        <v>204</v>
      </c>
    </row>
    <row r="420" spans="1:14" x14ac:dyDescent="0.35">
      <c r="A420" s="12" t="s">
        <v>2181</v>
      </c>
      <c r="B420" s="18" t="s">
        <v>2182</v>
      </c>
      <c r="C420" s="12" t="s">
        <v>122</v>
      </c>
      <c r="D420" s="12" t="s">
        <v>33</v>
      </c>
      <c r="E420" s="12"/>
      <c r="F420" s="12" t="s">
        <v>53</v>
      </c>
      <c r="G420" s="12" t="s">
        <v>54</v>
      </c>
      <c r="H420" s="12" t="s">
        <v>198</v>
      </c>
      <c r="I420" s="12" t="s">
        <v>2183</v>
      </c>
      <c r="J420" s="12" t="s">
        <v>2184</v>
      </c>
      <c r="K420" s="12" t="s">
        <v>2131</v>
      </c>
      <c r="L420" s="18" t="s">
        <v>209</v>
      </c>
      <c r="M420" s="18" t="s">
        <v>2185</v>
      </c>
      <c r="N420" s="12" t="s">
        <v>2186</v>
      </c>
    </row>
    <row r="421" spans="1:14" ht="42.5" x14ac:dyDescent="0.35">
      <c r="A421" s="12" t="s">
        <v>2187</v>
      </c>
      <c r="B421" s="18" t="s">
        <v>2188</v>
      </c>
      <c r="C421" s="12" t="s">
        <v>122</v>
      </c>
      <c r="D421" s="12" t="s">
        <v>33</v>
      </c>
      <c r="E421" s="12"/>
      <c r="F421" s="12" t="s">
        <v>57</v>
      </c>
      <c r="G421" s="12" t="s">
        <v>58</v>
      </c>
      <c r="H421" s="12" t="s">
        <v>198</v>
      </c>
      <c r="I421" s="12" t="s">
        <v>2189</v>
      </c>
      <c r="J421" s="12" t="s">
        <v>2190</v>
      </c>
      <c r="K421" s="12" t="s">
        <v>2131</v>
      </c>
      <c r="L421" s="18" t="s">
        <v>202</v>
      </c>
      <c r="M421" s="18" t="s">
        <v>414</v>
      </c>
      <c r="N421" s="12" t="s">
        <v>204</v>
      </c>
    </row>
    <row r="422" spans="1:14" x14ac:dyDescent="0.35">
      <c r="A422" s="12" t="s">
        <v>2191</v>
      </c>
      <c r="B422" s="18" t="s">
        <v>2192</v>
      </c>
      <c r="C422" s="12" t="s">
        <v>122</v>
      </c>
      <c r="D422" s="12" t="s">
        <v>33</v>
      </c>
      <c r="E422" s="12"/>
      <c r="F422" s="12" t="s">
        <v>53</v>
      </c>
      <c r="G422" s="12" t="s">
        <v>54</v>
      </c>
      <c r="H422" s="12" t="s">
        <v>198</v>
      </c>
      <c r="I422" s="12" t="s">
        <v>2193</v>
      </c>
      <c r="J422" s="12" t="s">
        <v>2156</v>
      </c>
      <c r="K422" s="12" t="s">
        <v>2131</v>
      </c>
      <c r="L422" s="18" t="s">
        <v>202</v>
      </c>
      <c r="M422" s="18" t="s">
        <v>229</v>
      </c>
      <c r="N422" s="12" t="s">
        <v>204</v>
      </c>
    </row>
    <row r="423" spans="1:14" x14ac:dyDescent="0.35">
      <c r="A423" s="12" t="s">
        <v>2194</v>
      </c>
      <c r="B423" s="18" t="s">
        <v>2195</v>
      </c>
      <c r="C423" s="12" t="s">
        <v>122</v>
      </c>
      <c r="D423" s="12" t="s">
        <v>33</v>
      </c>
      <c r="E423" s="12"/>
      <c r="F423" s="12" t="s">
        <v>55</v>
      </c>
      <c r="G423" s="12" t="s">
        <v>56</v>
      </c>
      <c r="H423" s="12" t="s">
        <v>259</v>
      </c>
      <c r="I423" s="12" t="s">
        <v>2196</v>
      </c>
      <c r="J423" s="12" t="s">
        <v>2197</v>
      </c>
      <c r="K423" s="12" t="s">
        <v>2198</v>
      </c>
      <c r="L423" s="18" t="s">
        <v>209</v>
      </c>
      <c r="M423" s="18" t="s">
        <v>235</v>
      </c>
      <c r="N423" s="12" t="s">
        <v>2199</v>
      </c>
    </row>
    <row r="424" spans="1:14" ht="28.5" x14ac:dyDescent="0.35">
      <c r="A424" s="12" t="s">
        <v>2200</v>
      </c>
      <c r="B424" s="18" t="s">
        <v>2201</v>
      </c>
      <c r="C424" s="12" t="s">
        <v>122</v>
      </c>
      <c r="D424" s="12" t="s">
        <v>33</v>
      </c>
      <c r="E424" s="12"/>
      <c r="F424" s="12" t="s">
        <v>55</v>
      </c>
      <c r="G424" s="12" t="s">
        <v>56</v>
      </c>
      <c r="H424" s="12" t="s">
        <v>198</v>
      </c>
      <c r="I424" s="12" t="s">
        <v>2202</v>
      </c>
      <c r="J424" s="12" t="s">
        <v>2203</v>
      </c>
      <c r="K424" s="12" t="s">
        <v>2198</v>
      </c>
      <c r="L424" s="18" t="s">
        <v>202</v>
      </c>
      <c r="M424" s="18" t="s">
        <v>371</v>
      </c>
      <c r="N424" s="12" t="s">
        <v>204</v>
      </c>
    </row>
    <row r="425" spans="1:14" x14ac:dyDescent="0.35">
      <c r="A425" s="12" t="s">
        <v>2204</v>
      </c>
      <c r="B425" s="18" t="s">
        <v>2205</v>
      </c>
      <c r="C425" s="12" t="s">
        <v>122</v>
      </c>
      <c r="D425" s="12" t="s">
        <v>33</v>
      </c>
      <c r="E425" s="12"/>
      <c r="F425" s="12" t="s">
        <v>53</v>
      </c>
      <c r="G425" s="12" t="s">
        <v>54</v>
      </c>
      <c r="H425" s="12" t="s">
        <v>198</v>
      </c>
      <c r="I425" s="12" t="s">
        <v>2206</v>
      </c>
      <c r="J425" s="12" t="s">
        <v>2207</v>
      </c>
      <c r="K425" s="12" t="s">
        <v>2198</v>
      </c>
      <c r="L425" s="18" t="s">
        <v>209</v>
      </c>
      <c r="M425" s="18" t="s">
        <v>2208</v>
      </c>
      <c r="N425" s="12" t="s">
        <v>2209</v>
      </c>
    </row>
    <row r="426" spans="1:14" ht="28.5" x14ac:dyDescent="0.35">
      <c r="A426" s="12" t="s">
        <v>2210</v>
      </c>
      <c r="B426" s="18" t="s">
        <v>2211</v>
      </c>
      <c r="C426" s="12" t="s">
        <v>122</v>
      </c>
      <c r="D426" s="12" t="s">
        <v>33</v>
      </c>
      <c r="E426" s="12"/>
      <c r="F426" s="12" t="s">
        <v>55</v>
      </c>
      <c r="G426" s="12" t="s">
        <v>56</v>
      </c>
      <c r="H426" s="12" t="s">
        <v>259</v>
      </c>
      <c r="I426" s="12" t="s">
        <v>2212</v>
      </c>
      <c r="J426" s="12" t="s">
        <v>2213</v>
      </c>
      <c r="K426" s="12" t="s">
        <v>2198</v>
      </c>
      <c r="L426" s="18" t="s">
        <v>216</v>
      </c>
      <c r="M426" s="18" t="s">
        <v>2214</v>
      </c>
      <c r="N426" s="12" t="s">
        <v>2215</v>
      </c>
    </row>
    <row r="427" spans="1:14" x14ac:dyDescent="0.35">
      <c r="A427" s="12" t="s">
        <v>2216</v>
      </c>
      <c r="B427" s="18" t="s">
        <v>2217</v>
      </c>
      <c r="C427" s="12" t="s">
        <v>122</v>
      </c>
      <c r="D427" s="12" t="s">
        <v>33</v>
      </c>
      <c r="E427" s="12"/>
      <c r="F427" s="12" t="s">
        <v>59</v>
      </c>
      <c r="G427" s="12" t="s">
        <v>60</v>
      </c>
      <c r="H427" s="12" t="s">
        <v>198</v>
      </c>
      <c r="I427" s="12" t="s">
        <v>2218</v>
      </c>
      <c r="J427" s="12" t="s">
        <v>2219</v>
      </c>
      <c r="K427" s="12" t="s">
        <v>2198</v>
      </c>
      <c r="L427" s="18" t="s">
        <v>202</v>
      </c>
      <c r="M427" s="18" t="s">
        <v>313</v>
      </c>
      <c r="N427" s="12" t="s">
        <v>204</v>
      </c>
    </row>
    <row r="428" spans="1:14" ht="28.5" x14ac:dyDescent="0.35">
      <c r="A428" s="12" t="s">
        <v>2220</v>
      </c>
      <c r="B428" s="18" t="s">
        <v>2221</v>
      </c>
      <c r="C428" s="12" t="s">
        <v>122</v>
      </c>
      <c r="D428" s="12" t="s">
        <v>36</v>
      </c>
      <c r="E428" s="12"/>
      <c r="F428" s="12" t="s">
        <v>81</v>
      </c>
      <c r="G428" s="12" t="s">
        <v>82</v>
      </c>
      <c r="H428" s="12" t="s">
        <v>259</v>
      </c>
      <c r="I428" s="12" t="s">
        <v>2222</v>
      </c>
      <c r="J428" s="12" t="s">
        <v>2223</v>
      </c>
      <c r="K428" s="12" t="s">
        <v>2224</v>
      </c>
      <c r="L428" s="18" t="s">
        <v>209</v>
      </c>
      <c r="M428" s="18" t="s">
        <v>2225</v>
      </c>
      <c r="N428" s="12" t="s">
        <v>2226</v>
      </c>
    </row>
    <row r="429" spans="1:14" x14ac:dyDescent="0.35">
      <c r="A429" s="12" t="s">
        <v>2227</v>
      </c>
      <c r="B429" s="18" t="s">
        <v>2228</v>
      </c>
      <c r="C429" s="12" t="s">
        <v>122</v>
      </c>
      <c r="D429" s="12" t="s">
        <v>33</v>
      </c>
      <c r="E429" s="12"/>
      <c r="F429" s="12" t="s">
        <v>53</v>
      </c>
      <c r="G429" s="12" t="s">
        <v>54</v>
      </c>
      <c r="H429" s="12" t="s">
        <v>198</v>
      </c>
      <c r="I429" s="12" t="s">
        <v>2229</v>
      </c>
      <c r="J429" s="12" t="s">
        <v>2230</v>
      </c>
      <c r="K429" s="12" t="s">
        <v>2224</v>
      </c>
      <c r="L429" s="18" t="s">
        <v>202</v>
      </c>
      <c r="M429" s="18" t="s">
        <v>229</v>
      </c>
      <c r="N429" s="12" t="s">
        <v>204</v>
      </c>
    </row>
    <row r="430" spans="1:14" x14ac:dyDescent="0.35">
      <c r="A430" s="12" t="s">
        <v>2231</v>
      </c>
      <c r="B430" s="18" t="s">
        <v>2232</v>
      </c>
      <c r="C430" s="12" t="s">
        <v>122</v>
      </c>
      <c r="D430" s="12" t="s">
        <v>33</v>
      </c>
      <c r="E430" s="12"/>
      <c r="F430" s="12" t="s">
        <v>53</v>
      </c>
      <c r="G430" s="12" t="s">
        <v>54</v>
      </c>
      <c r="H430" s="12" t="s">
        <v>198</v>
      </c>
      <c r="I430" s="12" t="s">
        <v>2233</v>
      </c>
      <c r="J430" s="12" t="s">
        <v>2234</v>
      </c>
      <c r="K430" s="12" t="s">
        <v>2224</v>
      </c>
      <c r="L430" s="18" t="s">
        <v>202</v>
      </c>
      <c r="M430" s="18" t="s">
        <v>229</v>
      </c>
      <c r="N430" s="12" t="s">
        <v>204</v>
      </c>
    </row>
    <row r="431" spans="1:14" ht="42.5" x14ac:dyDescent="0.35">
      <c r="A431" s="12" t="s">
        <v>2235</v>
      </c>
      <c r="B431" s="18" t="s">
        <v>2236</v>
      </c>
      <c r="C431" s="12" t="s">
        <v>122</v>
      </c>
      <c r="D431" s="12" t="s">
        <v>33</v>
      </c>
      <c r="E431" s="12"/>
      <c r="F431" s="12" t="s">
        <v>55</v>
      </c>
      <c r="G431" s="12" t="s">
        <v>56</v>
      </c>
      <c r="H431" s="12" t="s">
        <v>386</v>
      </c>
      <c r="I431" s="12" t="s">
        <v>2237</v>
      </c>
      <c r="J431" s="12" t="s">
        <v>2238</v>
      </c>
      <c r="K431" s="12" t="s">
        <v>2224</v>
      </c>
      <c r="L431" s="18" t="s">
        <v>202</v>
      </c>
      <c r="M431" s="18" t="s">
        <v>2239</v>
      </c>
      <c r="N431" s="12" t="s">
        <v>204</v>
      </c>
    </row>
    <row r="432" spans="1:14" x14ac:dyDescent="0.35">
      <c r="A432" s="12" t="s">
        <v>2240</v>
      </c>
      <c r="B432" s="18" t="s">
        <v>2241</v>
      </c>
      <c r="C432" s="12" t="s">
        <v>122</v>
      </c>
      <c r="D432" s="12" t="s">
        <v>33</v>
      </c>
      <c r="E432" s="12"/>
      <c r="F432" s="12" t="s">
        <v>57</v>
      </c>
      <c r="G432" s="12" t="s">
        <v>58</v>
      </c>
      <c r="H432" s="12" t="s">
        <v>198</v>
      </c>
      <c r="I432" s="12" t="s">
        <v>2242</v>
      </c>
      <c r="J432" s="12" t="s">
        <v>2243</v>
      </c>
      <c r="K432" s="12" t="s">
        <v>2224</v>
      </c>
      <c r="L432" s="18" t="s">
        <v>216</v>
      </c>
      <c r="M432" s="18" t="s">
        <v>2244</v>
      </c>
      <c r="N432" s="12" t="s">
        <v>2245</v>
      </c>
    </row>
    <row r="433" spans="1:14" x14ac:dyDescent="0.35">
      <c r="A433" s="12" t="s">
        <v>2246</v>
      </c>
      <c r="B433" s="18" t="s">
        <v>2247</v>
      </c>
      <c r="C433" s="12" t="s">
        <v>122</v>
      </c>
      <c r="D433" s="12" t="s">
        <v>33</v>
      </c>
      <c r="E433" s="12"/>
      <c r="F433" s="12" t="s">
        <v>55</v>
      </c>
      <c r="G433" s="12" t="s">
        <v>56</v>
      </c>
      <c r="H433" s="12" t="s">
        <v>198</v>
      </c>
      <c r="I433" s="12" t="s">
        <v>2248</v>
      </c>
      <c r="J433" s="12" t="s">
        <v>2249</v>
      </c>
      <c r="K433" s="12" t="s">
        <v>2224</v>
      </c>
      <c r="L433" s="18" t="s">
        <v>694</v>
      </c>
      <c r="M433" s="18" t="s">
        <v>2250</v>
      </c>
      <c r="N433" s="12" t="s">
        <v>2251</v>
      </c>
    </row>
    <row r="434" spans="1:14" x14ac:dyDescent="0.35">
      <c r="A434" s="12" t="s">
        <v>2252</v>
      </c>
      <c r="B434" s="18" t="s">
        <v>2253</v>
      </c>
      <c r="C434" s="12" t="s">
        <v>122</v>
      </c>
      <c r="D434" s="12" t="s">
        <v>34</v>
      </c>
      <c r="E434" s="12"/>
      <c r="F434" s="12" t="s">
        <v>63</v>
      </c>
      <c r="G434" s="12" t="s">
        <v>64</v>
      </c>
      <c r="H434" s="12" t="s">
        <v>259</v>
      </c>
      <c r="I434" s="12" t="s">
        <v>2254</v>
      </c>
      <c r="J434" s="12" t="s">
        <v>2255</v>
      </c>
      <c r="K434" s="12" t="s">
        <v>2224</v>
      </c>
      <c r="L434" s="18" t="s">
        <v>216</v>
      </c>
      <c r="M434" s="18" t="s">
        <v>2256</v>
      </c>
      <c r="N434" s="12" t="s">
        <v>2257</v>
      </c>
    </row>
    <row r="435" spans="1:14" x14ac:dyDescent="0.35">
      <c r="A435" s="12" t="s">
        <v>2258</v>
      </c>
      <c r="B435" s="18" t="s">
        <v>2259</v>
      </c>
      <c r="C435" s="12" t="s">
        <v>122</v>
      </c>
      <c r="D435" s="12" t="s">
        <v>33</v>
      </c>
      <c r="E435" s="12"/>
      <c r="F435" s="12" t="s">
        <v>63</v>
      </c>
      <c r="G435" s="12" t="s">
        <v>64</v>
      </c>
      <c r="H435" s="12" t="s">
        <v>198</v>
      </c>
      <c r="I435" s="12" t="s">
        <v>2242</v>
      </c>
      <c r="J435" s="12" t="s">
        <v>2243</v>
      </c>
      <c r="K435" s="12" t="s">
        <v>2224</v>
      </c>
      <c r="L435" s="18" t="s">
        <v>209</v>
      </c>
      <c r="M435" s="18" t="s">
        <v>2260</v>
      </c>
      <c r="N435" s="12" t="s">
        <v>2261</v>
      </c>
    </row>
    <row r="436" spans="1:14" ht="28.5" x14ac:dyDescent="0.35">
      <c r="A436" s="12" t="s">
        <v>2262</v>
      </c>
      <c r="B436" s="18" t="s">
        <v>2263</v>
      </c>
      <c r="C436" s="12" t="s">
        <v>122</v>
      </c>
      <c r="D436" s="12" t="s">
        <v>33</v>
      </c>
      <c r="E436" s="12"/>
      <c r="F436" s="12" t="s">
        <v>79</v>
      </c>
      <c r="G436" s="12" t="s">
        <v>80</v>
      </c>
      <c r="H436" s="12" t="s">
        <v>259</v>
      </c>
      <c r="I436" s="12" t="s">
        <v>2242</v>
      </c>
      <c r="J436" s="12" t="s">
        <v>2243</v>
      </c>
      <c r="K436" s="12" t="s">
        <v>2224</v>
      </c>
      <c r="L436" s="18" t="s">
        <v>694</v>
      </c>
      <c r="M436" s="18" t="s">
        <v>2264</v>
      </c>
      <c r="N436" s="12" t="s">
        <v>2265</v>
      </c>
    </row>
    <row r="437" spans="1:14" ht="28.5" x14ac:dyDescent="0.35">
      <c r="A437" s="12" t="s">
        <v>2266</v>
      </c>
      <c r="B437" s="18" t="s">
        <v>2267</v>
      </c>
      <c r="C437" s="12" t="s">
        <v>122</v>
      </c>
      <c r="D437" s="12" t="s">
        <v>33</v>
      </c>
      <c r="E437" s="12"/>
      <c r="F437" s="12" t="s">
        <v>53</v>
      </c>
      <c r="G437" s="12" t="s">
        <v>54</v>
      </c>
      <c r="H437" s="12" t="s">
        <v>259</v>
      </c>
      <c r="I437" s="12" t="s">
        <v>2268</v>
      </c>
      <c r="J437" s="12" t="s">
        <v>2269</v>
      </c>
      <c r="K437" s="12" t="s">
        <v>2224</v>
      </c>
      <c r="L437" s="18" t="s">
        <v>202</v>
      </c>
      <c r="M437" s="18" t="s">
        <v>2270</v>
      </c>
      <c r="N437" s="12" t="s">
        <v>204</v>
      </c>
    </row>
    <row r="438" spans="1:14" x14ac:dyDescent="0.35">
      <c r="A438" s="12" t="s">
        <v>2271</v>
      </c>
      <c r="B438" s="18" t="s">
        <v>1379</v>
      </c>
      <c r="C438" s="12" t="s">
        <v>122</v>
      </c>
      <c r="D438" s="12" t="s">
        <v>33</v>
      </c>
      <c r="E438" s="12"/>
      <c r="F438" s="12" t="s">
        <v>53</v>
      </c>
      <c r="G438" s="12" t="s">
        <v>54</v>
      </c>
      <c r="H438" s="12" t="s">
        <v>198</v>
      </c>
      <c r="I438" s="12" t="s">
        <v>2272</v>
      </c>
      <c r="J438" s="12" t="s">
        <v>2273</v>
      </c>
      <c r="K438" s="12" t="s">
        <v>2224</v>
      </c>
      <c r="L438" s="18" t="s">
        <v>202</v>
      </c>
      <c r="M438" s="18" t="s">
        <v>229</v>
      </c>
      <c r="N438" s="12" t="s">
        <v>204</v>
      </c>
    </row>
    <row r="439" spans="1:14" x14ac:dyDescent="0.35">
      <c r="A439" s="12" t="s">
        <v>2274</v>
      </c>
      <c r="B439" s="18" t="s">
        <v>2275</v>
      </c>
      <c r="C439" s="12" t="s">
        <v>122</v>
      </c>
      <c r="D439" s="12" t="s">
        <v>33</v>
      </c>
      <c r="E439" s="12"/>
      <c r="F439" s="12" t="s">
        <v>75</v>
      </c>
      <c r="G439" s="12" t="s">
        <v>76</v>
      </c>
      <c r="H439" s="12" t="s">
        <v>259</v>
      </c>
      <c r="I439" s="12" t="s">
        <v>2268</v>
      </c>
      <c r="J439" s="12" t="s">
        <v>2269</v>
      </c>
      <c r="K439" s="12" t="s">
        <v>2224</v>
      </c>
      <c r="L439" s="18" t="s">
        <v>202</v>
      </c>
      <c r="M439" s="18" t="s">
        <v>1020</v>
      </c>
      <c r="N439" s="12" t="s">
        <v>204</v>
      </c>
    </row>
    <row r="440" spans="1:14" ht="28.5" x14ac:dyDescent="0.35">
      <c r="A440" s="12" t="s">
        <v>2276</v>
      </c>
      <c r="B440" s="18" t="s">
        <v>2277</v>
      </c>
      <c r="C440" s="12" t="s">
        <v>122</v>
      </c>
      <c r="D440" s="12" t="s">
        <v>33</v>
      </c>
      <c r="E440" s="12"/>
      <c r="F440" s="12" t="s">
        <v>53</v>
      </c>
      <c r="G440" s="12" t="s">
        <v>54</v>
      </c>
      <c r="H440" s="12" t="s">
        <v>239</v>
      </c>
      <c r="I440" s="12" t="s">
        <v>2268</v>
      </c>
      <c r="J440" s="12" t="s">
        <v>2269</v>
      </c>
      <c r="K440" s="12" t="s">
        <v>2224</v>
      </c>
      <c r="L440" s="18" t="s">
        <v>202</v>
      </c>
      <c r="M440" s="18" t="s">
        <v>2278</v>
      </c>
      <c r="N440" s="12" t="s">
        <v>204</v>
      </c>
    </row>
    <row r="441" spans="1:14" x14ac:dyDescent="0.35">
      <c r="A441" s="12" t="s">
        <v>2279</v>
      </c>
      <c r="B441" s="18" t="s">
        <v>1342</v>
      </c>
      <c r="C441" s="12" t="s">
        <v>122</v>
      </c>
      <c r="D441" s="12" t="s">
        <v>33</v>
      </c>
      <c r="E441" s="12"/>
      <c r="F441" s="12" t="s">
        <v>67</v>
      </c>
      <c r="G441" s="12" t="s">
        <v>68</v>
      </c>
      <c r="H441" s="12" t="s">
        <v>198</v>
      </c>
      <c r="I441" s="12" t="s">
        <v>2280</v>
      </c>
      <c r="J441" s="12" t="s">
        <v>2281</v>
      </c>
      <c r="K441" s="12" t="s">
        <v>2224</v>
      </c>
      <c r="L441" s="18" t="s">
        <v>209</v>
      </c>
      <c r="M441" s="18" t="s">
        <v>2282</v>
      </c>
      <c r="N441" s="12" t="s">
        <v>2283</v>
      </c>
    </row>
    <row r="442" spans="1:14" x14ac:dyDescent="0.35">
      <c r="A442" s="12" t="s">
        <v>2284</v>
      </c>
      <c r="B442" s="18" t="s">
        <v>2285</v>
      </c>
      <c r="C442" s="12" t="s">
        <v>122</v>
      </c>
      <c r="D442" s="12" t="s">
        <v>36</v>
      </c>
      <c r="E442" s="12"/>
      <c r="F442" s="12" t="s">
        <v>71</v>
      </c>
      <c r="G442" s="12" t="s">
        <v>72</v>
      </c>
      <c r="H442" s="12" t="s">
        <v>259</v>
      </c>
      <c r="I442" s="12" t="s">
        <v>2286</v>
      </c>
      <c r="J442" s="12" t="s">
        <v>2287</v>
      </c>
      <c r="K442" s="12" t="s">
        <v>2224</v>
      </c>
      <c r="L442" s="18" t="s">
        <v>209</v>
      </c>
      <c r="M442" s="18" t="s">
        <v>2288</v>
      </c>
      <c r="N442" s="12" t="s">
        <v>2289</v>
      </c>
    </row>
    <row r="443" spans="1:14" x14ac:dyDescent="0.35">
      <c r="A443" s="12" t="s">
        <v>2290</v>
      </c>
      <c r="B443" s="18" t="s">
        <v>2291</v>
      </c>
      <c r="C443" s="12" t="s">
        <v>122</v>
      </c>
      <c r="D443" s="12" t="s">
        <v>33</v>
      </c>
      <c r="E443" s="12"/>
      <c r="F443" s="12" t="s">
        <v>53</v>
      </c>
      <c r="G443" s="12" t="s">
        <v>54</v>
      </c>
      <c r="H443" s="12" t="s">
        <v>198</v>
      </c>
      <c r="I443" s="12" t="s">
        <v>2229</v>
      </c>
      <c r="J443" s="12" t="s">
        <v>2230</v>
      </c>
      <c r="K443" s="12" t="s">
        <v>2224</v>
      </c>
      <c r="L443" s="18" t="s">
        <v>209</v>
      </c>
      <c r="M443" s="18" t="s">
        <v>2292</v>
      </c>
      <c r="N443" s="12" t="s">
        <v>2293</v>
      </c>
    </row>
    <row r="444" spans="1:14" ht="28.5" x14ac:dyDescent="0.35">
      <c r="A444" s="12" t="s">
        <v>2294</v>
      </c>
      <c r="B444" s="18" t="s">
        <v>2295</v>
      </c>
      <c r="C444" s="12" t="s">
        <v>122</v>
      </c>
      <c r="D444" s="12" t="s">
        <v>33</v>
      </c>
      <c r="E444" s="12"/>
      <c r="F444" s="12" t="s">
        <v>57</v>
      </c>
      <c r="G444" s="12" t="s">
        <v>58</v>
      </c>
      <c r="H444" s="12" t="s">
        <v>198</v>
      </c>
      <c r="I444" s="12" t="s">
        <v>2296</v>
      </c>
      <c r="J444" s="12" t="s">
        <v>2297</v>
      </c>
      <c r="K444" s="12" t="s">
        <v>2224</v>
      </c>
      <c r="L444" s="18" t="s">
        <v>202</v>
      </c>
      <c r="M444" s="18" t="s">
        <v>414</v>
      </c>
      <c r="N444" s="12" t="s">
        <v>204</v>
      </c>
    </row>
    <row r="445" spans="1:14" x14ac:dyDescent="0.35">
      <c r="A445" s="12" t="s">
        <v>2298</v>
      </c>
      <c r="B445" s="18" t="s">
        <v>2299</v>
      </c>
      <c r="C445" s="12" t="s">
        <v>122</v>
      </c>
      <c r="D445" s="12" t="s">
        <v>33</v>
      </c>
      <c r="E445" s="12"/>
      <c r="F445" s="12" t="s">
        <v>53</v>
      </c>
      <c r="G445" s="12" t="s">
        <v>54</v>
      </c>
      <c r="H445" s="12" t="s">
        <v>239</v>
      </c>
      <c r="I445" s="12" t="s">
        <v>2229</v>
      </c>
      <c r="J445" s="12" t="s">
        <v>2230</v>
      </c>
      <c r="K445" s="12" t="s">
        <v>2224</v>
      </c>
      <c r="L445" s="18" t="s">
        <v>202</v>
      </c>
      <c r="M445" s="18" t="s">
        <v>2300</v>
      </c>
      <c r="N445" s="12" t="s">
        <v>204</v>
      </c>
    </row>
    <row r="446" spans="1:14" ht="42.5" x14ac:dyDescent="0.35">
      <c r="A446" s="12" t="s">
        <v>2301</v>
      </c>
      <c r="B446" s="18" t="s">
        <v>2302</v>
      </c>
      <c r="C446" s="12" t="s">
        <v>122</v>
      </c>
      <c r="D446" s="12" t="s">
        <v>34</v>
      </c>
      <c r="E446" s="12"/>
      <c r="F446" s="12" t="s">
        <v>65</v>
      </c>
      <c r="G446" s="12" t="s">
        <v>66</v>
      </c>
      <c r="H446" s="12" t="s">
        <v>239</v>
      </c>
      <c r="I446" s="12" t="s">
        <v>2303</v>
      </c>
      <c r="J446" s="12" t="s">
        <v>2304</v>
      </c>
      <c r="K446" s="12" t="s">
        <v>2224</v>
      </c>
      <c r="L446" s="18" t="s">
        <v>202</v>
      </c>
      <c r="M446" s="18" t="s">
        <v>468</v>
      </c>
      <c r="N446" s="12" t="s">
        <v>204</v>
      </c>
    </row>
    <row r="447" spans="1:14" ht="42.5" x14ac:dyDescent="0.35">
      <c r="A447" s="12" t="s">
        <v>2305</v>
      </c>
      <c r="B447" s="18" t="s">
        <v>2306</v>
      </c>
      <c r="C447" s="12" t="s">
        <v>122</v>
      </c>
      <c r="D447" s="12" t="s">
        <v>33</v>
      </c>
      <c r="E447" s="12"/>
      <c r="F447" s="12" t="s">
        <v>53</v>
      </c>
      <c r="G447" s="12" t="s">
        <v>54</v>
      </c>
      <c r="H447" s="12" t="s">
        <v>386</v>
      </c>
      <c r="I447" s="12" t="s">
        <v>2233</v>
      </c>
      <c r="J447" s="12" t="s">
        <v>2234</v>
      </c>
      <c r="K447" s="12" t="s">
        <v>2224</v>
      </c>
      <c r="L447" s="18" t="s">
        <v>216</v>
      </c>
      <c r="M447" s="18" t="s">
        <v>2307</v>
      </c>
      <c r="N447" s="12" t="s">
        <v>2308</v>
      </c>
    </row>
    <row r="448" spans="1:14" x14ac:dyDescent="0.35">
      <c r="A448" s="12" t="s">
        <v>2309</v>
      </c>
      <c r="B448" s="18" t="s">
        <v>2310</v>
      </c>
      <c r="C448" s="12" t="s">
        <v>122</v>
      </c>
      <c r="D448" s="12" t="s">
        <v>33</v>
      </c>
      <c r="E448" s="12"/>
      <c r="F448" s="12" t="s">
        <v>53</v>
      </c>
      <c r="G448" s="12" t="s">
        <v>54</v>
      </c>
      <c r="H448" s="12" t="s">
        <v>259</v>
      </c>
      <c r="I448" s="12" t="s">
        <v>2229</v>
      </c>
      <c r="J448" s="12" t="s">
        <v>2230</v>
      </c>
      <c r="K448" s="12" t="s">
        <v>2224</v>
      </c>
      <c r="L448" s="18" t="s">
        <v>209</v>
      </c>
      <c r="M448" s="18" t="s">
        <v>2311</v>
      </c>
      <c r="N448" s="12" t="s">
        <v>2312</v>
      </c>
    </row>
    <row r="449" spans="1:14" ht="42.5" x14ac:dyDescent="0.35">
      <c r="A449" s="18" t="s">
        <v>2839</v>
      </c>
      <c r="B449" s="18" t="s">
        <v>2840</v>
      </c>
      <c r="C449" s="12" t="s">
        <v>122</v>
      </c>
      <c r="D449" s="18" t="s">
        <v>33</v>
      </c>
      <c r="E449" s="18"/>
      <c r="F449" s="12" t="s">
        <v>55</v>
      </c>
      <c r="G449" s="12" t="s">
        <v>56</v>
      </c>
      <c r="H449" s="12" t="s">
        <v>239</v>
      </c>
      <c r="I449" s="12" t="s">
        <v>2841</v>
      </c>
      <c r="J449" s="12" t="s">
        <v>2842</v>
      </c>
      <c r="K449" s="12" t="s">
        <v>2317</v>
      </c>
      <c r="L449" s="12" t="s">
        <v>216</v>
      </c>
      <c r="M449" s="18" t="s">
        <v>4737</v>
      </c>
      <c r="N449" s="18" t="s">
        <v>4738</v>
      </c>
    </row>
    <row r="450" spans="1:14" x14ac:dyDescent="0.35">
      <c r="A450" s="12" t="s">
        <v>2313</v>
      </c>
      <c r="B450" s="18" t="s">
        <v>2314</v>
      </c>
      <c r="C450" s="12" t="s">
        <v>122</v>
      </c>
      <c r="D450" s="12" t="s">
        <v>33</v>
      </c>
      <c r="E450" s="12"/>
      <c r="F450" s="12" t="s">
        <v>55</v>
      </c>
      <c r="G450" s="12" t="s">
        <v>56</v>
      </c>
      <c r="H450" s="12" t="s">
        <v>198</v>
      </c>
      <c r="I450" s="12" t="s">
        <v>2315</v>
      </c>
      <c r="J450" s="12" t="s">
        <v>2316</v>
      </c>
      <c r="K450" s="12" t="s">
        <v>2317</v>
      </c>
      <c r="L450" s="18" t="s">
        <v>202</v>
      </c>
      <c r="M450" s="18" t="s">
        <v>937</v>
      </c>
      <c r="N450" s="12" t="s">
        <v>204</v>
      </c>
    </row>
    <row r="451" spans="1:14" x14ac:dyDescent="0.35">
      <c r="A451" s="12" t="s">
        <v>2318</v>
      </c>
      <c r="B451" s="18" t="s">
        <v>2319</v>
      </c>
      <c r="C451" s="12" t="s">
        <v>122</v>
      </c>
      <c r="D451" s="12" t="s">
        <v>33</v>
      </c>
      <c r="E451" s="12"/>
      <c r="F451" s="12" t="s">
        <v>55</v>
      </c>
      <c r="G451" s="12" t="s">
        <v>56</v>
      </c>
      <c r="H451" s="12" t="s">
        <v>259</v>
      </c>
      <c r="I451" s="12" t="s">
        <v>2320</v>
      </c>
      <c r="J451" s="12" t="s">
        <v>2321</v>
      </c>
      <c r="K451" s="12" t="s">
        <v>2317</v>
      </c>
      <c r="L451" s="18" t="s">
        <v>202</v>
      </c>
      <c r="M451" s="18" t="s">
        <v>371</v>
      </c>
      <c r="N451" s="12" t="s">
        <v>204</v>
      </c>
    </row>
    <row r="452" spans="1:14" x14ac:dyDescent="0.35">
      <c r="A452" s="12" t="s">
        <v>2322</v>
      </c>
      <c r="B452" s="18" t="s">
        <v>2323</v>
      </c>
      <c r="C452" s="12" t="s">
        <v>122</v>
      </c>
      <c r="D452" s="12" t="s">
        <v>33</v>
      </c>
      <c r="E452" s="12"/>
      <c r="F452" s="12" t="s">
        <v>55</v>
      </c>
      <c r="G452" s="12" t="s">
        <v>56</v>
      </c>
      <c r="H452" s="12" t="s">
        <v>198</v>
      </c>
      <c r="I452" s="12" t="s">
        <v>2315</v>
      </c>
      <c r="J452" s="12" t="s">
        <v>2316</v>
      </c>
      <c r="K452" s="12" t="s">
        <v>2317</v>
      </c>
      <c r="L452" s="18" t="s">
        <v>202</v>
      </c>
      <c r="M452" s="18" t="s">
        <v>2324</v>
      </c>
      <c r="N452" s="12" t="s">
        <v>204</v>
      </c>
    </row>
    <row r="453" spans="1:14" x14ac:dyDescent="0.35">
      <c r="A453" s="12" t="s">
        <v>2325</v>
      </c>
      <c r="B453" s="18" t="s">
        <v>2326</v>
      </c>
      <c r="C453" s="12" t="s">
        <v>122</v>
      </c>
      <c r="D453" s="12" t="s">
        <v>33</v>
      </c>
      <c r="E453" s="12"/>
      <c r="F453" s="12" t="s">
        <v>55</v>
      </c>
      <c r="G453" s="12" t="s">
        <v>56</v>
      </c>
      <c r="H453" s="12" t="s">
        <v>198</v>
      </c>
      <c r="I453" s="12" t="s">
        <v>2327</v>
      </c>
      <c r="J453" s="12" t="s">
        <v>2328</v>
      </c>
      <c r="K453" s="12" t="s">
        <v>2317</v>
      </c>
      <c r="L453" s="18" t="s">
        <v>209</v>
      </c>
      <c r="M453" s="18" t="s">
        <v>2329</v>
      </c>
      <c r="N453" s="12" t="s">
        <v>2330</v>
      </c>
    </row>
    <row r="454" spans="1:14" ht="28.5" x14ac:dyDescent="0.35">
      <c r="A454" s="12" t="s">
        <v>2331</v>
      </c>
      <c r="B454" s="18" t="s">
        <v>2332</v>
      </c>
      <c r="C454" s="12" t="s">
        <v>122</v>
      </c>
      <c r="D454" s="12" t="s">
        <v>33</v>
      </c>
      <c r="E454" s="12"/>
      <c r="F454" s="12" t="s">
        <v>79</v>
      </c>
      <c r="G454" s="12" t="s">
        <v>80</v>
      </c>
      <c r="H454" s="12" t="s">
        <v>259</v>
      </c>
      <c r="I454" s="12" t="s">
        <v>2333</v>
      </c>
      <c r="J454" s="12" t="s">
        <v>2334</v>
      </c>
      <c r="K454" s="12" t="s">
        <v>2317</v>
      </c>
      <c r="L454" s="18" t="s">
        <v>202</v>
      </c>
      <c r="M454" s="18" t="s">
        <v>2335</v>
      </c>
      <c r="N454" s="12" t="s">
        <v>204</v>
      </c>
    </row>
    <row r="455" spans="1:14" ht="28.5" x14ac:dyDescent="0.35">
      <c r="A455" s="12" t="s">
        <v>2336</v>
      </c>
      <c r="B455" s="18" t="s">
        <v>2337</v>
      </c>
      <c r="C455" s="12" t="s">
        <v>122</v>
      </c>
      <c r="D455" s="12" t="s">
        <v>33</v>
      </c>
      <c r="E455" s="12"/>
      <c r="F455" s="12" t="s">
        <v>55</v>
      </c>
      <c r="G455" s="12" t="s">
        <v>56</v>
      </c>
      <c r="H455" s="12" t="s">
        <v>198</v>
      </c>
      <c r="I455" s="12" t="s">
        <v>2338</v>
      </c>
      <c r="J455" s="12" t="s">
        <v>2339</v>
      </c>
      <c r="K455" s="12" t="s">
        <v>2317</v>
      </c>
      <c r="L455" s="18" t="s">
        <v>202</v>
      </c>
      <c r="M455" s="18" t="s">
        <v>371</v>
      </c>
      <c r="N455" s="12" t="s">
        <v>204</v>
      </c>
    </row>
    <row r="456" spans="1:14" ht="56.5" x14ac:dyDescent="0.35">
      <c r="A456" s="12" t="s">
        <v>2340</v>
      </c>
      <c r="B456" s="18" t="s">
        <v>2341</v>
      </c>
      <c r="C456" s="12" t="s">
        <v>122</v>
      </c>
      <c r="D456" s="12" t="s">
        <v>33</v>
      </c>
      <c r="E456" s="12"/>
      <c r="F456" s="12" t="s">
        <v>55</v>
      </c>
      <c r="G456" s="12" t="s">
        <v>56</v>
      </c>
      <c r="H456" s="12" t="s">
        <v>198</v>
      </c>
      <c r="I456" s="12" t="s">
        <v>2342</v>
      </c>
      <c r="J456" s="12" t="s">
        <v>2343</v>
      </c>
      <c r="K456" s="12" t="s">
        <v>2317</v>
      </c>
      <c r="L456" s="18" t="s">
        <v>202</v>
      </c>
      <c r="M456" s="18" t="s">
        <v>2344</v>
      </c>
      <c r="N456" s="12" t="s">
        <v>204</v>
      </c>
    </row>
    <row r="457" spans="1:14" ht="28.5" x14ac:dyDescent="0.35">
      <c r="A457" s="12" t="s">
        <v>2345</v>
      </c>
      <c r="B457" s="18" t="s">
        <v>2346</v>
      </c>
      <c r="C457" s="12" t="s">
        <v>122</v>
      </c>
      <c r="D457" s="12" t="s">
        <v>33</v>
      </c>
      <c r="E457" s="12"/>
      <c r="F457" s="12" t="s">
        <v>69</v>
      </c>
      <c r="G457" s="12" t="s">
        <v>70</v>
      </c>
      <c r="H457" s="12" t="s">
        <v>198</v>
      </c>
      <c r="I457" s="12" t="s">
        <v>2347</v>
      </c>
      <c r="J457" s="12" t="s">
        <v>2348</v>
      </c>
      <c r="K457" s="12" t="s">
        <v>2317</v>
      </c>
      <c r="L457" s="18" t="s">
        <v>209</v>
      </c>
      <c r="M457" s="18" t="s">
        <v>2349</v>
      </c>
      <c r="N457" s="12" t="s">
        <v>2350</v>
      </c>
    </row>
    <row r="458" spans="1:14" ht="42.5" x14ac:dyDescent="0.35">
      <c r="A458" s="18" t="s">
        <v>3240</v>
      </c>
      <c r="B458" s="18" t="s">
        <v>3241</v>
      </c>
      <c r="C458" s="12" t="s">
        <v>122</v>
      </c>
      <c r="D458" s="18" t="s">
        <v>34</v>
      </c>
      <c r="E458" s="18"/>
      <c r="F458" s="12" t="s">
        <v>3242</v>
      </c>
      <c r="G458" s="12" t="s">
        <v>3243</v>
      </c>
      <c r="H458" s="12" t="s">
        <v>198</v>
      </c>
      <c r="I458" s="12" t="s">
        <v>2333</v>
      </c>
      <c r="J458" s="12" t="s">
        <v>2334</v>
      </c>
      <c r="K458" s="12" t="s">
        <v>2317</v>
      </c>
      <c r="L458" s="12" t="s">
        <v>216</v>
      </c>
      <c r="M458" s="18" t="s">
        <v>4739</v>
      </c>
      <c r="N458" s="18" t="s">
        <v>4740</v>
      </c>
    </row>
    <row r="459" spans="1:14" ht="28.5" x14ac:dyDescent="0.35">
      <c r="A459" s="12" t="s">
        <v>2351</v>
      </c>
      <c r="B459" s="18" t="s">
        <v>2352</v>
      </c>
      <c r="C459" s="12" t="s">
        <v>122</v>
      </c>
      <c r="D459" s="12" t="s">
        <v>34</v>
      </c>
      <c r="E459" s="12"/>
      <c r="F459" s="12" t="s">
        <v>65</v>
      </c>
      <c r="G459" s="12" t="s">
        <v>66</v>
      </c>
      <c r="H459" s="12" t="s">
        <v>239</v>
      </c>
      <c r="I459" s="12" t="s">
        <v>2353</v>
      </c>
      <c r="J459" s="12" t="s">
        <v>2354</v>
      </c>
      <c r="K459" s="12" t="s">
        <v>2355</v>
      </c>
      <c r="L459" s="18" t="s">
        <v>202</v>
      </c>
      <c r="M459" s="18" t="s">
        <v>2356</v>
      </c>
      <c r="N459" s="12" t="s">
        <v>204</v>
      </c>
    </row>
    <row r="460" spans="1:14" ht="28.5" x14ac:dyDescent="0.35">
      <c r="A460" s="12" t="s">
        <v>2357</v>
      </c>
      <c r="B460" s="18" t="s">
        <v>2358</v>
      </c>
      <c r="C460" s="12" t="s">
        <v>122</v>
      </c>
      <c r="D460" s="12" t="s">
        <v>34</v>
      </c>
      <c r="E460" s="12"/>
      <c r="F460" s="12" t="s">
        <v>63</v>
      </c>
      <c r="G460" s="12" t="s">
        <v>64</v>
      </c>
      <c r="H460" s="12" t="s">
        <v>198</v>
      </c>
      <c r="I460" s="12" t="s">
        <v>2359</v>
      </c>
      <c r="J460" s="12" t="s">
        <v>2360</v>
      </c>
      <c r="K460" s="12" t="s">
        <v>2355</v>
      </c>
      <c r="L460" s="18" t="s">
        <v>216</v>
      </c>
      <c r="M460" s="18" t="s">
        <v>2361</v>
      </c>
      <c r="N460" s="12" t="s">
        <v>2362</v>
      </c>
    </row>
    <row r="461" spans="1:14" x14ac:dyDescent="0.35">
      <c r="A461" s="12" t="s">
        <v>2363</v>
      </c>
      <c r="B461" s="18" t="s">
        <v>1362</v>
      </c>
      <c r="C461" s="12" t="s">
        <v>122</v>
      </c>
      <c r="D461" s="12" t="s">
        <v>33</v>
      </c>
      <c r="E461" s="12"/>
      <c r="F461" s="12" t="s">
        <v>53</v>
      </c>
      <c r="G461" s="12" t="s">
        <v>54</v>
      </c>
      <c r="H461" s="12" t="s">
        <v>239</v>
      </c>
      <c r="I461" s="12" t="s">
        <v>2364</v>
      </c>
      <c r="J461" s="12" t="s">
        <v>2365</v>
      </c>
      <c r="K461" s="12" t="s">
        <v>2355</v>
      </c>
      <c r="L461" s="18" t="s">
        <v>209</v>
      </c>
      <c r="M461" s="18" t="s">
        <v>2366</v>
      </c>
      <c r="N461" s="12" t="s">
        <v>2367</v>
      </c>
    </row>
    <row r="462" spans="1:14" ht="28.5" x14ac:dyDescent="0.35">
      <c r="A462" s="12" t="s">
        <v>2368</v>
      </c>
      <c r="B462" s="18" t="s">
        <v>2369</v>
      </c>
      <c r="C462" s="12" t="s">
        <v>122</v>
      </c>
      <c r="D462" s="12" t="s">
        <v>33</v>
      </c>
      <c r="E462" s="12"/>
      <c r="F462" s="12" t="s">
        <v>65</v>
      </c>
      <c r="G462" s="12" t="s">
        <v>66</v>
      </c>
      <c r="H462" s="12" t="s">
        <v>239</v>
      </c>
      <c r="I462" s="12" t="s">
        <v>2370</v>
      </c>
      <c r="J462" s="12" t="s">
        <v>2371</v>
      </c>
      <c r="K462" s="12" t="s">
        <v>2355</v>
      </c>
      <c r="L462" s="18" t="s">
        <v>202</v>
      </c>
      <c r="M462" s="18" t="s">
        <v>468</v>
      </c>
      <c r="N462" s="12" t="s">
        <v>204</v>
      </c>
    </row>
    <row r="463" spans="1:14" ht="28.5" x14ac:dyDescent="0.35">
      <c r="A463" s="12" t="s">
        <v>2372</v>
      </c>
      <c r="B463" s="18" t="s">
        <v>2373</v>
      </c>
      <c r="C463" s="12" t="s">
        <v>122</v>
      </c>
      <c r="D463" s="12" t="s">
        <v>33</v>
      </c>
      <c r="E463" s="12"/>
      <c r="F463" s="12" t="s">
        <v>75</v>
      </c>
      <c r="G463" s="12" t="s">
        <v>76</v>
      </c>
      <c r="H463" s="12" t="s">
        <v>259</v>
      </c>
      <c r="I463" s="12" t="s">
        <v>2364</v>
      </c>
      <c r="J463" s="12" t="s">
        <v>2365</v>
      </c>
      <c r="K463" s="12" t="s">
        <v>2355</v>
      </c>
      <c r="L463" s="18" t="s">
        <v>216</v>
      </c>
      <c r="M463" s="18" t="s">
        <v>2374</v>
      </c>
      <c r="N463" s="12" t="s">
        <v>2375</v>
      </c>
    </row>
    <row r="464" spans="1:14" ht="28.5" x14ac:dyDescent="0.35">
      <c r="A464" s="12" t="s">
        <v>2376</v>
      </c>
      <c r="B464" s="18" t="s">
        <v>2377</v>
      </c>
      <c r="C464" s="12" t="s">
        <v>122</v>
      </c>
      <c r="D464" s="12" t="s">
        <v>33</v>
      </c>
      <c r="E464" s="12"/>
      <c r="F464" s="12" t="s">
        <v>55</v>
      </c>
      <c r="G464" s="12" t="s">
        <v>56</v>
      </c>
      <c r="H464" s="12" t="s">
        <v>198</v>
      </c>
      <c r="I464" s="12" t="s">
        <v>2378</v>
      </c>
      <c r="J464" s="12" t="s">
        <v>2379</v>
      </c>
      <c r="K464" s="12" t="s">
        <v>2355</v>
      </c>
      <c r="L464" s="18" t="s">
        <v>202</v>
      </c>
      <c r="M464" s="18" t="s">
        <v>2380</v>
      </c>
      <c r="N464" s="12" t="s">
        <v>204</v>
      </c>
    </row>
    <row r="465" spans="1:14" ht="28.5" x14ac:dyDescent="0.35">
      <c r="A465" s="12" t="s">
        <v>2381</v>
      </c>
      <c r="B465" s="18" t="s">
        <v>2382</v>
      </c>
      <c r="C465" s="12" t="s">
        <v>122</v>
      </c>
      <c r="D465" s="12" t="s">
        <v>33</v>
      </c>
      <c r="E465" s="12"/>
      <c r="F465" s="12" t="s">
        <v>55</v>
      </c>
      <c r="G465" s="12" t="s">
        <v>56</v>
      </c>
      <c r="H465" s="12" t="s">
        <v>198</v>
      </c>
      <c r="I465" s="12" t="s">
        <v>2383</v>
      </c>
      <c r="J465" s="12" t="s">
        <v>2384</v>
      </c>
      <c r="K465" s="12" t="s">
        <v>2355</v>
      </c>
      <c r="L465" s="18" t="s">
        <v>202</v>
      </c>
      <c r="M465" s="18" t="s">
        <v>371</v>
      </c>
      <c r="N465" s="12" t="s">
        <v>204</v>
      </c>
    </row>
    <row r="466" spans="1:14" ht="28.5" x14ac:dyDescent="0.35">
      <c r="A466" s="12" t="s">
        <v>2385</v>
      </c>
      <c r="B466" s="18" t="s">
        <v>2386</v>
      </c>
      <c r="C466" s="12" t="s">
        <v>122</v>
      </c>
      <c r="D466" s="12" t="s">
        <v>33</v>
      </c>
      <c r="E466" s="12"/>
      <c r="F466" s="12" t="s">
        <v>53</v>
      </c>
      <c r="G466" s="12" t="s">
        <v>54</v>
      </c>
      <c r="H466" s="12" t="s">
        <v>259</v>
      </c>
      <c r="I466" s="12" t="s">
        <v>2387</v>
      </c>
      <c r="J466" s="12" t="s">
        <v>2388</v>
      </c>
      <c r="K466" s="12" t="s">
        <v>2355</v>
      </c>
      <c r="L466" s="18" t="s">
        <v>202</v>
      </c>
      <c r="M466" s="18" t="s">
        <v>1048</v>
      </c>
      <c r="N466" s="12" t="s">
        <v>204</v>
      </c>
    </row>
    <row r="467" spans="1:14" x14ac:dyDescent="0.35">
      <c r="A467" s="12" t="s">
        <v>2389</v>
      </c>
      <c r="B467" s="18" t="s">
        <v>2390</v>
      </c>
      <c r="C467" s="12" t="s">
        <v>122</v>
      </c>
      <c r="D467" s="12" t="s">
        <v>33</v>
      </c>
      <c r="E467" s="12"/>
      <c r="F467" s="12" t="s">
        <v>61</v>
      </c>
      <c r="G467" s="12" t="s">
        <v>62</v>
      </c>
      <c r="H467" s="12" t="s">
        <v>259</v>
      </c>
      <c r="I467" s="12" t="s">
        <v>2391</v>
      </c>
      <c r="J467" s="12" t="s">
        <v>2392</v>
      </c>
      <c r="K467" s="12" t="s">
        <v>2355</v>
      </c>
      <c r="L467" s="18" t="s">
        <v>202</v>
      </c>
      <c r="M467" s="18" t="s">
        <v>318</v>
      </c>
      <c r="N467" s="12" t="s">
        <v>204</v>
      </c>
    </row>
    <row r="468" spans="1:14" x14ac:dyDescent="0.35">
      <c r="A468" s="12" t="s">
        <v>2393</v>
      </c>
      <c r="B468" s="18" t="s">
        <v>2394</v>
      </c>
      <c r="C468" s="12" t="s">
        <v>122</v>
      </c>
      <c r="D468" s="12" t="s">
        <v>33</v>
      </c>
      <c r="E468" s="12"/>
      <c r="F468" s="12" t="s">
        <v>53</v>
      </c>
      <c r="G468" s="12" t="s">
        <v>54</v>
      </c>
      <c r="H468" s="12" t="s">
        <v>198</v>
      </c>
      <c r="I468" s="12" t="s">
        <v>2395</v>
      </c>
      <c r="J468" s="12" t="s">
        <v>2396</v>
      </c>
      <c r="K468" s="12" t="s">
        <v>2355</v>
      </c>
      <c r="L468" s="18" t="s">
        <v>209</v>
      </c>
      <c r="M468" s="18" t="s">
        <v>2397</v>
      </c>
      <c r="N468" s="12" t="s">
        <v>2398</v>
      </c>
    </row>
    <row r="469" spans="1:14" ht="28.5" x14ac:dyDescent="0.35">
      <c r="A469" s="18" t="s">
        <v>2878</v>
      </c>
      <c r="B469" s="18" t="s">
        <v>2879</v>
      </c>
      <c r="C469" s="12" t="s">
        <v>122</v>
      </c>
      <c r="D469" s="18" t="s">
        <v>34</v>
      </c>
      <c r="E469" s="18"/>
      <c r="F469" s="12" t="s">
        <v>65</v>
      </c>
      <c r="G469" s="12" t="s">
        <v>66</v>
      </c>
      <c r="H469" s="12" t="s">
        <v>198</v>
      </c>
      <c r="I469" s="12" t="s">
        <v>2880</v>
      </c>
      <c r="J469" s="12" t="s">
        <v>2881</v>
      </c>
      <c r="K469" s="12" t="s">
        <v>2882</v>
      </c>
      <c r="L469" s="12" t="s">
        <v>216</v>
      </c>
      <c r="M469" s="18" t="s">
        <v>4741</v>
      </c>
      <c r="N469" s="18" t="s">
        <v>4742</v>
      </c>
    </row>
  </sheetData>
  <autoFilter ref="A4:N469" xr:uid="{00000000-0001-0000-0500-000000000000}"/>
  <sortState xmlns:xlrd2="http://schemas.microsoft.com/office/spreadsheetml/2017/richdata2" ref="A5:N453">
    <sortCondition ref="K5:K453"/>
    <sortCondition ref="B5:B453"/>
  </sortState>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C271-8EED-4157-B3C5-BEFE6D7FBF4F}">
  <dimension ref="A1:N164"/>
  <sheetViews>
    <sheetView workbookViewId="0">
      <pane xSplit="2" ySplit="4" topLeftCell="C5" activePane="bottomRight" state="frozen"/>
      <selection pane="topRight"/>
      <selection pane="bottomLeft"/>
      <selection pane="bottomRight" activeCell="C5" sqref="C5"/>
    </sheetView>
  </sheetViews>
  <sheetFormatPr defaultRowHeight="14.5" x14ac:dyDescent="0.35"/>
  <cols>
    <col min="1" max="1" width="25.453125" style="20" customWidth="1"/>
    <col min="2" max="2" width="47.26953125" style="20" customWidth="1"/>
    <col min="3" max="3" width="22.6328125" bestFit="1" customWidth="1"/>
    <col min="4" max="4" width="19.08984375" style="20" customWidth="1"/>
    <col min="5" max="5" width="16.36328125" style="20" customWidth="1"/>
    <col min="6" max="6" width="9" customWidth="1"/>
    <col min="7" max="7" width="57.1796875" customWidth="1"/>
    <col min="8" max="8" width="19.36328125" customWidth="1"/>
    <col min="9" max="9" width="32.26953125" bestFit="1" customWidth="1"/>
    <col min="10" max="10" width="18.26953125" customWidth="1"/>
    <col min="11" max="11" width="17.54296875" customWidth="1"/>
    <col min="12" max="12" width="41.6328125" bestFit="1" customWidth="1"/>
    <col min="13" max="13" width="76" style="20" customWidth="1"/>
    <col min="14" max="14" width="77.90625" style="20" customWidth="1"/>
  </cols>
  <sheetData>
    <row r="1" spans="1:14" ht="18" x14ac:dyDescent="0.35">
      <c r="A1" s="37" t="s">
        <v>2399</v>
      </c>
      <c r="B1" s="37"/>
    </row>
    <row r="2" spans="1:14" x14ac:dyDescent="0.35">
      <c r="A2" s="36" t="s">
        <v>2400</v>
      </c>
      <c r="B2" s="36"/>
    </row>
    <row r="4" spans="1:14" ht="28" x14ac:dyDescent="0.35">
      <c r="A4" s="4" t="s">
        <v>187</v>
      </c>
      <c r="B4" s="4" t="s">
        <v>188</v>
      </c>
      <c r="C4" s="4" t="s">
        <v>119</v>
      </c>
      <c r="D4" s="4" t="s">
        <v>30</v>
      </c>
      <c r="E4" s="4" t="s">
        <v>189</v>
      </c>
      <c r="F4" s="4" t="s">
        <v>45</v>
      </c>
      <c r="G4" s="4" t="s">
        <v>46</v>
      </c>
      <c r="H4" s="4" t="s">
        <v>190</v>
      </c>
      <c r="I4" s="4" t="s">
        <v>191</v>
      </c>
      <c r="J4" s="4" t="s">
        <v>192</v>
      </c>
      <c r="K4" s="4" t="s">
        <v>193</v>
      </c>
      <c r="L4" s="4" t="s">
        <v>194</v>
      </c>
      <c r="M4" s="4" t="s">
        <v>195</v>
      </c>
      <c r="N4" s="4" t="s">
        <v>100</v>
      </c>
    </row>
    <row r="5" spans="1:14" x14ac:dyDescent="0.35">
      <c r="A5" s="18" t="s">
        <v>2883</v>
      </c>
      <c r="B5" s="18" t="s">
        <v>2884</v>
      </c>
      <c r="C5" s="12" t="s">
        <v>128</v>
      </c>
      <c r="D5" s="18"/>
      <c r="E5" s="18"/>
      <c r="F5" s="12" t="s">
        <v>81</v>
      </c>
      <c r="G5" s="12" t="s">
        <v>82</v>
      </c>
      <c r="H5" s="12" t="s">
        <v>198</v>
      </c>
      <c r="I5" s="12" t="s">
        <v>2885</v>
      </c>
      <c r="J5" s="12" t="s">
        <v>2886</v>
      </c>
      <c r="K5" s="12" t="s">
        <v>2887</v>
      </c>
      <c r="L5" s="12" t="s">
        <v>209</v>
      </c>
      <c r="M5" s="18" t="s">
        <v>2888</v>
      </c>
      <c r="N5" s="18" t="s">
        <v>2889</v>
      </c>
    </row>
    <row r="6" spans="1:14" x14ac:dyDescent="0.35">
      <c r="A6" s="18" t="s">
        <v>2557</v>
      </c>
      <c r="B6" s="18" t="s">
        <v>2558</v>
      </c>
      <c r="C6" s="12" t="s">
        <v>125</v>
      </c>
      <c r="D6" s="18"/>
      <c r="E6" s="18"/>
      <c r="F6" s="12" t="s">
        <v>65</v>
      </c>
      <c r="G6" s="12" t="s">
        <v>66</v>
      </c>
      <c r="H6" s="12" t="s">
        <v>259</v>
      </c>
      <c r="I6" s="12" t="s">
        <v>2559</v>
      </c>
      <c r="J6" s="12" t="s">
        <v>2560</v>
      </c>
      <c r="K6" s="12" t="s">
        <v>228</v>
      </c>
      <c r="L6" s="12" t="s">
        <v>2561</v>
      </c>
      <c r="M6" s="18" t="s">
        <v>2562</v>
      </c>
      <c r="N6" s="18"/>
    </row>
    <row r="7" spans="1:14" x14ac:dyDescent="0.35">
      <c r="A7" s="18" t="s">
        <v>3081</v>
      </c>
      <c r="B7" s="18" t="s">
        <v>3082</v>
      </c>
      <c r="C7" s="12" t="s">
        <v>23</v>
      </c>
      <c r="D7" s="18"/>
      <c r="E7" s="18"/>
      <c r="F7" s="12" t="s">
        <v>3083</v>
      </c>
      <c r="G7" s="12" t="s">
        <v>3084</v>
      </c>
      <c r="H7" s="12" t="s">
        <v>239</v>
      </c>
      <c r="I7" s="12" t="s">
        <v>3085</v>
      </c>
      <c r="J7" s="12" t="s">
        <v>3086</v>
      </c>
      <c r="K7" s="12" t="s">
        <v>234</v>
      </c>
      <c r="L7" s="12" t="s">
        <v>209</v>
      </c>
      <c r="M7" s="18" t="s">
        <v>3087</v>
      </c>
      <c r="N7" s="18" t="s">
        <v>3088</v>
      </c>
    </row>
    <row r="8" spans="1:14" ht="56.5" x14ac:dyDescent="0.35">
      <c r="A8" s="18" t="s">
        <v>2563</v>
      </c>
      <c r="B8" s="18" t="s">
        <v>2564</v>
      </c>
      <c r="C8" s="12" t="s">
        <v>122</v>
      </c>
      <c r="D8" s="18" t="s">
        <v>33</v>
      </c>
      <c r="E8" s="18" t="s">
        <v>2403</v>
      </c>
      <c r="F8" s="12" t="s">
        <v>55</v>
      </c>
      <c r="G8" s="12" t="s">
        <v>56</v>
      </c>
      <c r="H8" s="12" t="s">
        <v>259</v>
      </c>
      <c r="I8" s="12" t="s">
        <v>2565</v>
      </c>
      <c r="J8" s="12" t="s">
        <v>2566</v>
      </c>
      <c r="K8" s="12" t="s">
        <v>242</v>
      </c>
      <c r="L8" s="12" t="s">
        <v>216</v>
      </c>
      <c r="M8" s="18" t="s">
        <v>4743</v>
      </c>
      <c r="N8" s="18" t="s">
        <v>4744</v>
      </c>
    </row>
    <row r="9" spans="1:14" x14ac:dyDescent="0.35">
      <c r="A9" s="18" t="s">
        <v>3025</v>
      </c>
      <c r="B9" s="18" t="s">
        <v>3026</v>
      </c>
      <c r="C9" s="12" t="s">
        <v>131</v>
      </c>
      <c r="D9" s="18"/>
      <c r="E9" s="18"/>
      <c r="F9" s="12" t="s">
        <v>81</v>
      </c>
      <c r="G9" s="12" t="s">
        <v>82</v>
      </c>
      <c r="H9" s="12" t="s">
        <v>239</v>
      </c>
      <c r="I9" s="12" t="s">
        <v>3027</v>
      </c>
      <c r="J9" s="12" t="s">
        <v>3028</v>
      </c>
      <c r="K9" s="12" t="s">
        <v>3029</v>
      </c>
      <c r="L9" s="12" t="s">
        <v>209</v>
      </c>
      <c r="M9" s="18" t="s">
        <v>3030</v>
      </c>
      <c r="N9" s="18" t="s">
        <v>3031</v>
      </c>
    </row>
    <row r="10" spans="1:14" x14ac:dyDescent="0.35">
      <c r="A10" s="18" t="s">
        <v>2568</v>
      </c>
      <c r="B10" s="18" t="s">
        <v>2569</v>
      </c>
      <c r="C10" s="12" t="s">
        <v>125</v>
      </c>
      <c r="D10" s="18"/>
      <c r="E10" s="18"/>
      <c r="F10" s="12" t="s">
        <v>53</v>
      </c>
      <c r="G10" s="12" t="s">
        <v>54</v>
      </c>
      <c r="H10" s="12" t="s">
        <v>259</v>
      </c>
      <c r="I10" s="12" t="s">
        <v>2570</v>
      </c>
      <c r="J10" s="12" t="s">
        <v>2571</v>
      </c>
      <c r="K10" s="12" t="s">
        <v>308</v>
      </c>
      <c r="L10" s="12" t="s">
        <v>209</v>
      </c>
      <c r="M10" s="18" t="s">
        <v>2572</v>
      </c>
      <c r="N10" s="18" t="s">
        <v>2573</v>
      </c>
    </row>
    <row r="11" spans="1:14" ht="42.5" x14ac:dyDescent="0.35">
      <c r="A11" s="18" t="s">
        <v>3089</v>
      </c>
      <c r="B11" s="18" t="s">
        <v>3090</v>
      </c>
      <c r="C11" s="12" t="s">
        <v>23</v>
      </c>
      <c r="D11" s="18"/>
      <c r="E11" s="18"/>
      <c r="F11" s="12" t="s">
        <v>3091</v>
      </c>
      <c r="G11" s="12" t="s">
        <v>3092</v>
      </c>
      <c r="H11" s="12" t="s">
        <v>259</v>
      </c>
      <c r="I11" s="12" t="s">
        <v>3093</v>
      </c>
      <c r="J11" s="12" t="s">
        <v>3094</v>
      </c>
      <c r="K11" s="12" t="s">
        <v>331</v>
      </c>
      <c r="L11" s="12" t="s">
        <v>3095</v>
      </c>
      <c r="M11" s="18" t="s">
        <v>3096</v>
      </c>
      <c r="N11" s="18" t="s">
        <v>3097</v>
      </c>
    </row>
    <row r="12" spans="1:14" x14ac:dyDescent="0.35">
      <c r="A12" s="18" t="s">
        <v>2574</v>
      </c>
      <c r="B12" s="18" t="s">
        <v>2575</v>
      </c>
      <c r="C12" s="12" t="s">
        <v>125</v>
      </c>
      <c r="D12" s="18"/>
      <c r="E12" s="18"/>
      <c r="F12" s="12" t="s">
        <v>53</v>
      </c>
      <c r="G12" s="12" t="s">
        <v>54</v>
      </c>
      <c r="H12" s="12" t="s">
        <v>259</v>
      </c>
      <c r="I12" s="12" t="s">
        <v>2576</v>
      </c>
      <c r="J12" s="12" t="s">
        <v>2577</v>
      </c>
      <c r="K12" s="12" t="s">
        <v>341</v>
      </c>
      <c r="L12" s="12" t="s">
        <v>209</v>
      </c>
      <c r="M12" s="18" t="s">
        <v>2578</v>
      </c>
      <c r="N12" s="18" t="s">
        <v>2579</v>
      </c>
    </row>
    <row r="13" spans="1:14" ht="42.5" x14ac:dyDescent="0.35">
      <c r="A13" s="18" t="s">
        <v>3032</v>
      </c>
      <c r="B13" s="18" t="s">
        <v>3033</v>
      </c>
      <c r="C13" s="12" t="s">
        <v>131</v>
      </c>
      <c r="D13" s="18"/>
      <c r="E13" s="18"/>
      <c r="F13" s="12" t="s">
        <v>69</v>
      </c>
      <c r="G13" s="12" t="s">
        <v>70</v>
      </c>
      <c r="H13" s="12" t="s">
        <v>198</v>
      </c>
      <c r="I13" s="12" t="s">
        <v>3034</v>
      </c>
      <c r="J13" s="12" t="s">
        <v>3035</v>
      </c>
      <c r="K13" s="12" t="s">
        <v>341</v>
      </c>
      <c r="L13" s="12" t="s">
        <v>209</v>
      </c>
      <c r="M13" s="18" t="s">
        <v>3036</v>
      </c>
      <c r="N13" s="18" t="s">
        <v>3037</v>
      </c>
    </row>
    <row r="14" spans="1:14" x14ac:dyDescent="0.35">
      <c r="A14" s="18" t="s">
        <v>2580</v>
      </c>
      <c r="B14" s="18" t="s">
        <v>2581</v>
      </c>
      <c r="C14" s="12" t="s">
        <v>125</v>
      </c>
      <c r="D14" s="18"/>
      <c r="E14" s="18"/>
      <c r="F14" s="12" t="s">
        <v>83</v>
      </c>
      <c r="G14" s="12" t="s">
        <v>84</v>
      </c>
      <c r="H14" s="12" t="s">
        <v>259</v>
      </c>
      <c r="I14" s="12" t="s">
        <v>2582</v>
      </c>
      <c r="J14" s="12" t="s">
        <v>2583</v>
      </c>
      <c r="K14" s="12" t="s">
        <v>341</v>
      </c>
      <c r="L14" s="12" t="s">
        <v>2561</v>
      </c>
      <c r="M14" s="18" t="s">
        <v>2584</v>
      </c>
      <c r="N14" s="18"/>
    </row>
    <row r="15" spans="1:14" x14ac:dyDescent="0.35">
      <c r="A15" s="18" t="s">
        <v>3098</v>
      </c>
      <c r="B15" s="18" t="s">
        <v>3099</v>
      </c>
      <c r="C15" s="12" t="s">
        <v>23</v>
      </c>
      <c r="D15" s="18"/>
      <c r="E15" s="18"/>
      <c r="F15" s="12" t="s">
        <v>3100</v>
      </c>
      <c r="G15" s="12" t="s">
        <v>3101</v>
      </c>
      <c r="H15" s="12" t="s">
        <v>239</v>
      </c>
      <c r="I15" s="12" t="s">
        <v>3102</v>
      </c>
      <c r="J15" s="12" t="s">
        <v>3103</v>
      </c>
      <c r="K15" s="12" t="s">
        <v>341</v>
      </c>
      <c r="L15" s="12" t="s">
        <v>3104</v>
      </c>
      <c r="M15" s="18" t="s">
        <v>3105</v>
      </c>
      <c r="N15" s="18"/>
    </row>
    <row r="16" spans="1:14" x14ac:dyDescent="0.35">
      <c r="A16" s="18" t="s">
        <v>2585</v>
      </c>
      <c r="B16" s="18" t="s">
        <v>2586</v>
      </c>
      <c r="C16" s="12" t="s">
        <v>125</v>
      </c>
      <c r="D16" s="18"/>
      <c r="E16" s="18"/>
      <c r="F16" s="12" t="s">
        <v>69</v>
      </c>
      <c r="G16" s="12" t="s">
        <v>70</v>
      </c>
      <c r="H16" s="12" t="s">
        <v>198</v>
      </c>
      <c r="I16" s="12" t="s">
        <v>369</v>
      </c>
      <c r="J16" s="12" t="s">
        <v>383</v>
      </c>
      <c r="K16" s="12" t="s">
        <v>341</v>
      </c>
      <c r="L16" s="12" t="s">
        <v>2561</v>
      </c>
      <c r="M16" s="18" t="s">
        <v>2587</v>
      </c>
      <c r="N16" s="18"/>
    </row>
    <row r="17" spans="1:14" ht="28.5" x14ac:dyDescent="0.35">
      <c r="A17" s="18" t="s">
        <v>2890</v>
      </c>
      <c r="B17" s="18" t="s">
        <v>2891</v>
      </c>
      <c r="C17" s="12" t="s">
        <v>128</v>
      </c>
      <c r="D17" s="18"/>
      <c r="E17" s="18"/>
      <c r="F17" s="12" t="s">
        <v>57</v>
      </c>
      <c r="G17" s="12" t="s">
        <v>58</v>
      </c>
      <c r="H17" s="12" t="s">
        <v>198</v>
      </c>
      <c r="I17" s="12" t="s">
        <v>2892</v>
      </c>
      <c r="J17" s="12" t="s">
        <v>2893</v>
      </c>
      <c r="K17" s="12" t="s">
        <v>409</v>
      </c>
      <c r="L17" s="12" t="s">
        <v>216</v>
      </c>
      <c r="M17" s="18" t="s">
        <v>2894</v>
      </c>
      <c r="N17" s="18" t="s">
        <v>2895</v>
      </c>
    </row>
    <row r="18" spans="1:14" ht="42.5" x14ac:dyDescent="0.35">
      <c r="A18" s="18" t="s">
        <v>3106</v>
      </c>
      <c r="B18" s="18" t="s">
        <v>3107</v>
      </c>
      <c r="C18" s="12" t="s">
        <v>23</v>
      </c>
      <c r="D18" s="18"/>
      <c r="E18" s="18"/>
      <c r="F18" s="12" t="s">
        <v>3108</v>
      </c>
      <c r="G18" s="12" t="s">
        <v>3109</v>
      </c>
      <c r="H18" s="12" t="s">
        <v>259</v>
      </c>
      <c r="I18" s="12" t="s">
        <v>2410</v>
      </c>
      <c r="J18" s="12" t="s">
        <v>2411</v>
      </c>
      <c r="K18" s="12" t="s">
        <v>409</v>
      </c>
      <c r="L18" s="12" t="s">
        <v>3095</v>
      </c>
      <c r="M18" s="18" t="s">
        <v>3110</v>
      </c>
      <c r="N18" s="18" t="s">
        <v>3111</v>
      </c>
    </row>
    <row r="19" spans="1:14" ht="56.5" x14ac:dyDescent="0.35">
      <c r="A19" s="18" t="s">
        <v>2896</v>
      </c>
      <c r="B19" s="18" t="s">
        <v>2897</v>
      </c>
      <c r="C19" s="12" t="s">
        <v>128</v>
      </c>
      <c r="D19" s="18"/>
      <c r="E19" s="18" t="s">
        <v>2414</v>
      </c>
      <c r="F19" s="12" t="s">
        <v>67</v>
      </c>
      <c r="G19" s="12" t="s">
        <v>68</v>
      </c>
      <c r="H19" s="12" t="s">
        <v>198</v>
      </c>
      <c r="I19" s="12" t="s">
        <v>2898</v>
      </c>
      <c r="J19" s="12" t="s">
        <v>2899</v>
      </c>
      <c r="K19" s="12" t="s">
        <v>409</v>
      </c>
      <c r="L19" s="12" t="s">
        <v>209</v>
      </c>
      <c r="M19" s="18" t="s">
        <v>2900</v>
      </c>
      <c r="N19" s="18" t="s">
        <v>2901</v>
      </c>
    </row>
    <row r="20" spans="1:14" x14ac:dyDescent="0.35">
      <c r="A20" s="18" t="s">
        <v>3215</v>
      </c>
      <c r="B20" s="18" t="s">
        <v>3216</v>
      </c>
      <c r="C20" s="12" t="s">
        <v>134</v>
      </c>
      <c r="D20" s="18"/>
      <c r="E20" s="18"/>
      <c r="F20" s="12" t="s">
        <v>3217</v>
      </c>
      <c r="G20" s="12" t="s">
        <v>3218</v>
      </c>
      <c r="H20" s="12" t="s">
        <v>198</v>
      </c>
      <c r="I20" s="12" t="s">
        <v>3219</v>
      </c>
      <c r="J20" s="12" t="s">
        <v>3220</v>
      </c>
      <c r="K20" s="12" t="s">
        <v>409</v>
      </c>
      <c r="L20" s="12" t="s">
        <v>216</v>
      </c>
      <c r="M20" s="18" t="s">
        <v>4745</v>
      </c>
      <c r="N20" s="18" t="s">
        <v>4746</v>
      </c>
    </row>
    <row r="21" spans="1:14" ht="42.5" x14ac:dyDescent="0.35">
      <c r="A21" s="18" t="s">
        <v>2407</v>
      </c>
      <c r="B21" s="18" t="s">
        <v>2408</v>
      </c>
      <c r="C21" s="12" t="s">
        <v>122</v>
      </c>
      <c r="D21" s="18" t="s">
        <v>33</v>
      </c>
      <c r="E21" s="18" t="s">
        <v>2409</v>
      </c>
      <c r="F21" s="12" t="s">
        <v>55</v>
      </c>
      <c r="G21" s="12" t="s">
        <v>56</v>
      </c>
      <c r="H21" s="12" t="s">
        <v>259</v>
      </c>
      <c r="I21" s="12" t="s">
        <v>2410</v>
      </c>
      <c r="J21" s="12" t="s">
        <v>2411</v>
      </c>
      <c r="K21" s="12" t="s">
        <v>409</v>
      </c>
      <c r="L21" s="12" t="s">
        <v>202</v>
      </c>
      <c r="M21" s="18" t="s">
        <v>371</v>
      </c>
      <c r="N21" s="18" t="s">
        <v>204</v>
      </c>
    </row>
    <row r="22" spans="1:14" ht="42.5" x14ac:dyDescent="0.35">
      <c r="A22" s="18" t="s">
        <v>2902</v>
      </c>
      <c r="B22" s="18" t="s">
        <v>2903</v>
      </c>
      <c r="C22" s="12" t="s">
        <v>128</v>
      </c>
      <c r="D22" s="18"/>
      <c r="E22" s="18"/>
      <c r="F22" s="12" t="s">
        <v>69</v>
      </c>
      <c r="G22" s="12" t="s">
        <v>70</v>
      </c>
      <c r="H22" s="12" t="s">
        <v>259</v>
      </c>
      <c r="I22" s="12" t="s">
        <v>2415</v>
      </c>
      <c r="J22" s="12" t="s">
        <v>2416</v>
      </c>
      <c r="K22" s="12" t="s">
        <v>409</v>
      </c>
      <c r="L22" s="12" t="s">
        <v>216</v>
      </c>
      <c r="M22" s="18" t="s">
        <v>2904</v>
      </c>
      <c r="N22" s="18" t="s">
        <v>2905</v>
      </c>
    </row>
    <row r="23" spans="1:14" ht="56.5" x14ac:dyDescent="0.35">
      <c r="A23" s="18" t="s">
        <v>2412</v>
      </c>
      <c r="B23" s="18" t="s">
        <v>2413</v>
      </c>
      <c r="C23" s="12" t="s">
        <v>122</v>
      </c>
      <c r="D23" s="18" t="s">
        <v>33</v>
      </c>
      <c r="E23" s="18" t="s">
        <v>2414</v>
      </c>
      <c r="F23" s="12" t="s">
        <v>59</v>
      </c>
      <c r="G23" s="12" t="s">
        <v>60</v>
      </c>
      <c r="H23" s="12" t="s">
        <v>259</v>
      </c>
      <c r="I23" s="12" t="s">
        <v>2415</v>
      </c>
      <c r="J23" s="12" t="s">
        <v>2416</v>
      </c>
      <c r="K23" s="12" t="s">
        <v>409</v>
      </c>
      <c r="L23" s="12" t="s">
        <v>216</v>
      </c>
      <c r="M23" s="18" t="s">
        <v>2417</v>
      </c>
      <c r="N23" s="18" t="s">
        <v>2418</v>
      </c>
    </row>
    <row r="24" spans="1:14" ht="28.5" x14ac:dyDescent="0.35">
      <c r="A24" s="18" t="s">
        <v>3112</v>
      </c>
      <c r="B24" s="18" t="s">
        <v>3113</v>
      </c>
      <c r="C24" s="12" t="s">
        <v>23</v>
      </c>
      <c r="D24" s="18"/>
      <c r="E24" s="18"/>
      <c r="F24" s="12" t="s">
        <v>3114</v>
      </c>
      <c r="G24" s="12" t="s">
        <v>3115</v>
      </c>
      <c r="H24" s="12" t="s">
        <v>239</v>
      </c>
      <c r="I24" s="12" t="s">
        <v>3116</v>
      </c>
      <c r="J24" s="12" t="s">
        <v>3117</v>
      </c>
      <c r="K24" s="12" t="s">
        <v>430</v>
      </c>
      <c r="L24" s="12" t="s">
        <v>209</v>
      </c>
      <c r="M24" s="18" t="s">
        <v>3118</v>
      </c>
      <c r="N24" s="18" t="s">
        <v>3119</v>
      </c>
    </row>
    <row r="25" spans="1:14" ht="28.5" x14ac:dyDescent="0.35">
      <c r="A25" s="18" t="s">
        <v>2592</v>
      </c>
      <c r="B25" s="18" t="s">
        <v>2593</v>
      </c>
      <c r="C25" s="12" t="s">
        <v>125</v>
      </c>
      <c r="D25" s="18"/>
      <c r="E25" s="18"/>
      <c r="F25" s="12" t="s">
        <v>65</v>
      </c>
      <c r="G25" s="12" t="s">
        <v>66</v>
      </c>
      <c r="H25" s="12" t="s">
        <v>198</v>
      </c>
      <c r="I25" s="12" t="s">
        <v>466</v>
      </c>
      <c r="J25" s="12" t="s">
        <v>467</v>
      </c>
      <c r="K25" s="12" t="s">
        <v>457</v>
      </c>
      <c r="L25" s="12" t="s">
        <v>2561</v>
      </c>
      <c r="M25" s="18" t="s">
        <v>2562</v>
      </c>
      <c r="N25" s="18"/>
    </row>
    <row r="26" spans="1:14" ht="42.5" x14ac:dyDescent="0.35">
      <c r="A26" s="18" t="s">
        <v>2419</v>
      </c>
      <c r="B26" s="18" t="s">
        <v>2420</v>
      </c>
      <c r="C26" s="12" t="s">
        <v>122</v>
      </c>
      <c r="D26" s="18" t="s">
        <v>33</v>
      </c>
      <c r="E26" s="18" t="s">
        <v>2421</v>
      </c>
      <c r="F26" s="12" t="s">
        <v>53</v>
      </c>
      <c r="G26" s="12" t="s">
        <v>54</v>
      </c>
      <c r="H26" s="12" t="s">
        <v>239</v>
      </c>
      <c r="I26" s="12" t="s">
        <v>2422</v>
      </c>
      <c r="J26" s="12" t="s">
        <v>2423</v>
      </c>
      <c r="K26" s="12" t="s">
        <v>530</v>
      </c>
      <c r="L26" s="12" t="s">
        <v>209</v>
      </c>
      <c r="M26" s="18" t="s">
        <v>2424</v>
      </c>
      <c r="N26" s="18" t="s">
        <v>2425</v>
      </c>
    </row>
    <row r="27" spans="1:14" ht="84.5" x14ac:dyDescent="0.35">
      <c r="A27" s="18" t="s">
        <v>3120</v>
      </c>
      <c r="B27" s="18" t="s">
        <v>3121</v>
      </c>
      <c r="C27" s="12" t="s">
        <v>23</v>
      </c>
      <c r="D27" s="18"/>
      <c r="E27" s="18"/>
      <c r="F27" s="12" t="s">
        <v>3122</v>
      </c>
      <c r="G27" s="12" t="s">
        <v>3123</v>
      </c>
      <c r="H27" s="12" t="s">
        <v>1961</v>
      </c>
      <c r="I27" s="12" t="s">
        <v>3124</v>
      </c>
      <c r="J27" s="12" t="s">
        <v>3125</v>
      </c>
      <c r="K27" s="12" t="s">
        <v>575</v>
      </c>
      <c r="L27" s="12" t="s">
        <v>3095</v>
      </c>
      <c r="M27" s="18" t="s">
        <v>3126</v>
      </c>
      <c r="N27" s="18" t="s">
        <v>3127</v>
      </c>
    </row>
    <row r="28" spans="1:14" ht="28.5" x14ac:dyDescent="0.35">
      <c r="A28" s="18" t="s">
        <v>3038</v>
      </c>
      <c r="B28" s="18" t="s">
        <v>3039</v>
      </c>
      <c r="C28" s="12" t="s">
        <v>131</v>
      </c>
      <c r="D28" s="18"/>
      <c r="E28" s="18"/>
      <c r="F28" s="12" t="s">
        <v>3040</v>
      </c>
      <c r="G28" s="12" t="s">
        <v>3041</v>
      </c>
      <c r="H28" s="12" t="s">
        <v>198</v>
      </c>
      <c r="I28" s="12" t="s">
        <v>3042</v>
      </c>
      <c r="J28" s="12" t="s">
        <v>3043</v>
      </c>
      <c r="K28" s="12" t="s">
        <v>586</v>
      </c>
      <c r="L28" s="12" t="s">
        <v>209</v>
      </c>
      <c r="M28" s="18" t="s">
        <v>3044</v>
      </c>
      <c r="N28" s="18" t="s">
        <v>3045</v>
      </c>
    </row>
    <row r="29" spans="1:14" ht="56.5" x14ac:dyDescent="0.35">
      <c r="A29" s="18" t="s">
        <v>2426</v>
      </c>
      <c r="B29" s="18" t="s">
        <v>2427</v>
      </c>
      <c r="C29" s="12" t="s">
        <v>122</v>
      </c>
      <c r="D29" s="18" t="s">
        <v>34</v>
      </c>
      <c r="E29" s="18" t="s">
        <v>2414</v>
      </c>
      <c r="F29" s="12" t="s">
        <v>63</v>
      </c>
      <c r="G29" s="12" t="s">
        <v>64</v>
      </c>
      <c r="H29" s="12" t="s">
        <v>198</v>
      </c>
      <c r="I29" s="12" t="s">
        <v>2428</v>
      </c>
      <c r="J29" s="12" t="s">
        <v>2429</v>
      </c>
      <c r="K29" s="12" t="s">
        <v>586</v>
      </c>
      <c r="L29" s="12" t="s">
        <v>216</v>
      </c>
      <c r="M29" s="18" t="s">
        <v>2430</v>
      </c>
      <c r="N29" s="18" t="s">
        <v>2431</v>
      </c>
    </row>
    <row r="30" spans="1:14" ht="28.5" x14ac:dyDescent="0.35">
      <c r="A30" s="18" t="s">
        <v>2594</v>
      </c>
      <c r="B30" s="18" t="s">
        <v>2595</v>
      </c>
      <c r="C30" s="12" t="s">
        <v>125</v>
      </c>
      <c r="D30" s="18"/>
      <c r="E30" s="18"/>
      <c r="F30" s="12" t="s">
        <v>85</v>
      </c>
      <c r="G30" s="12" t="s">
        <v>86</v>
      </c>
      <c r="H30" s="12" t="s">
        <v>198</v>
      </c>
      <c r="I30" s="12" t="s">
        <v>2596</v>
      </c>
      <c r="J30" s="12" t="s">
        <v>2597</v>
      </c>
      <c r="K30" s="12" t="s">
        <v>613</v>
      </c>
      <c r="L30" s="12" t="s">
        <v>2561</v>
      </c>
      <c r="M30" s="18" t="s">
        <v>2598</v>
      </c>
      <c r="N30" s="18"/>
    </row>
    <row r="31" spans="1:14" ht="28.5" x14ac:dyDescent="0.35">
      <c r="A31" s="18" t="s">
        <v>2906</v>
      </c>
      <c r="B31" s="18" t="s">
        <v>2907</v>
      </c>
      <c r="C31" s="12" t="s">
        <v>128</v>
      </c>
      <c r="D31" s="18"/>
      <c r="E31" s="18"/>
      <c r="F31" s="12" t="s">
        <v>53</v>
      </c>
      <c r="G31" s="12" t="s">
        <v>54</v>
      </c>
      <c r="H31" s="12" t="s">
        <v>259</v>
      </c>
      <c r="I31" s="12" t="s">
        <v>2908</v>
      </c>
      <c r="J31" s="12" t="s">
        <v>2909</v>
      </c>
      <c r="K31" s="12" t="s">
        <v>626</v>
      </c>
      <c r="L31" s="12" t="s">
        <v>209</v>
      </c>
      <c r="M31" s="18" t="s">
        <v>2910</v>
      </c>
      <c r="N31" s="18" t="s">
        <v>2911</v>
      </c>
    </row>
    <row r="32" spans="1:14" ht="42.5" x14ac:dyDescent="0.35">
      <c r="A32" s="18" t="s">
        <v>2437</v>
      </c>
      <c r="B32" s="18" t="s">
        <v>2438</v>
      </c>
      <c r="C32" s="12" t="s">
        <v>122</v>
      </c>
      <c r="D32" s="18" t="s">
        <v>33</v>
      </c>
      <c r="E32" s="18" t="s">
        <v>2439</v>
      </c>
      <c r="F32" s="12" t="s">
        <v>53</v>
      </c>
      <c r="G32" s="12" t="s">
        <v>54</v>
      </c>
      <c r="H32" s="12" t="s">
        <v>259</v>
      </c>
      <c r="I32" s="12" t="s">
        <v>2440</v>
      </c>
      <c r="J32" s="12" t="s">
        <v>651</v>
      </c>
      <c r="K32" s="12" t="s">
        <v>626</v>
      </c>
      <c r="L32" s="12" t="s">
        <v>209</v>
      </c>
      <c r="M32" s="18" t="s">
        <v>2441</v>
      </c>
      <c r="N32" s="18" t="s">
        <v>2442</v>
      </c>
    </row>
    <row r="33" spans="1:14" ht="56.5" x14ac:dyDescent="0.35">
      <c r="A33" s="18" t="s">
        <v>2443</v>
      </c>
      <c r="B33" s="18" t="s">
        <v>2444</v>
      </c>
      <c r="C33" s="12" t="s">
        <v>122</v>
      </c>
      <c r="D33" s="18" t="s">
        <v>33</v>
      </c>
      <c r="E33" s="18" t="s">
        <v>2403</v>
      </c>
      <c r="F33" s="12" t="s">
        <v>53</v>
      </c>
      <c r="G33" s="12" t="s">
        <v>54</v>
      </c>
      <c r="H33" s="12" t="s">
        <v>259</v>
      </c>
      <c r="I33" s="12" t="s">
        <v>2445</v>
      </c>
      <c r="J33" s="12" t="s">
        <v>2446</v>
      </c>
      <c r="K33" s="12" t="s">
        <v>667</v>
      </c>
      <c r="L33" s="12" t="s">
        <v>209</v>
      </c>
      <c r="M33" s="18" t="s">
        <v>2447</v>
      </c>
      <c r="N33" s="18" t="s">
        <v>2448</v>
      </c>
    </row>
    <row r="34" spans="1:14" ht="28.5" x14ac:dyDescent="0.35">
      <c r="A34" s="18" t="s">
        <v>2599</v>
      </c>
      <c r="B34" s="18" t="s">
        <v>2600</v>
      </c>
      <c r="C34" s="12" t="s">
        <v>125</v>
      </c>
      <c r="D34" s="18"/>
      <c r="E34" s="18"/>
      <c r="F34" s="12" t="s">
        <v>59</v>
      </c>
      <c r="G34" s="12" t="s">
        <v>60</v>
      </c>
      <c r="H34" s="12" t="s">
        <v>198</v>
      </c>
      <c r="I34" s="12" t="s">
        <v>2601</v>
      </c>
      <c r="J34" s="12" t="s">
        <v>2602</v>
      </c>
      <c r="K34" s="12" t="s">
        <v>667</v>
      </c>
      <c r="L34" s="12" t="s">
        <v>2561</v>
      </c>
      <c r="M34" s="18" t="s">
        <v>2603</v>
      </c>
      <c r="N34" s="18"/>
    </row>
    <row r="35" spans="1:14" ht="56.5" x14ac:dyDescent="0.35">
      <c r="A35" s="18" t="s">
        <v>2449</v>
      </c>
      <c r="B35" s="18" t="s">
        <v>2450</v>
      </c>
      <c r="C35" s="12" t="s">
        <v>122</v>
      </c>
      <c r="D35" s="18" t="s">
        <v>33</v>
      </c>
      <c r="E35" s="18" t="s">
        <v>2403</v>
      </c>
      <c r="F35" s="12" t="s">
        <v>67</v>
      </c>
      <c r="G35" s="12" t="s">
        <v>68</v>
      </c>
      <c r="H35" s="12" t="s">
        <v>198</v>
      </c>
      <c r="I35" s="12" t="s">
        <v>688</v>
      </c>
      <c r="J35" s="12" t="s">
        <v>689</v>
      </c>
      <c r="K35" s="12" t="s">
        <v>667</v>
      </c>
      <c r="L35" s="12" t="s">
        <v>209</v>
      </c>
      <c r="M35" s="18" t="s">
        <v>2451</v>
      </c>
      <c r="N35" s="18" t="s">
        <v>2452</v>
      </c>
    </row>
    <row r="36" spans="1:14" ht="42.5" x14ac:dyDescent="0.35">
      <c r="A36" s="18" t="s">
        <v>2912</v>
      </c>
      <c r="B36" s="18" t="s">
        <v>2913</v>
      </c>
      <c r="C36" s="12" t="s">
        <v>128</v>
      </c>
      <c r="D36" s="18"/>
      <c r="E36" s="18"/>
      <c r="F36" s="12" t="s">
        <v>67</v>
      </c>
      <c r="G36" s="12" t="s">
        <v>68</v>
      </c>
      <c r="H36" s="12" t="s">
        <v>198</v>
      </c>
      <c r="I36" s="12" t="s">
        <v>2445</v>
      </c>
      <c r="J36" s="12" t="s">
        <v>2914</v>
      </c>
      <c r="K36" s="12" t="s">
        <v>667</v>
      </c>
      <c r="L36" s="12" t="s">
        <v>216</v>
      </c>
      <c r="M36" s="18" t="s">
        <v>2915</v>
      </c>
      <c r="N36" s="18" t="s">
        <v>2916</v>
      </c>
    </row>
    <row r="37" spans="1:14" ht="28.5" x14ac:dyDescent="0.35">
      <c r="A37" s="18" t="s">
        <v>3128</v>
      </c>
      <c r="B37" s="18" t="s">
        <v>3129</v>
      </c>
      <c r="C37" s="12" t="s">
        <v>23</v>
      </c>
      <c r="D37" s="18"/>
      <c r="E37" s="18"/>
      <c r="F37" s="12" t="s">
        <v>3091</v>
      </c>
      <c r="G37" s="12" t="s">
        <v>3092</v>
      </c>
      <c r="H37" s="12" t="s">
        <v>198</v>
      </c>
      <c r="I37" s="12" t="s">
        <v>2460</v>
      </c>
      <c r="J37" s="12" t="s">
        <v>2461</v>
      </c>
      <c r="K37" s="12" t="s">
        <v>705</v>
      </c>
      <c r="L37" s="12" t="s">
        <v>3095</v>
      </c>
      <c r="M37" s="18" t="s">
        <v>3130</v>
      </c>
      <c r="N37" s="18" t="s">
        <v>3131</v>
      </c>
    </row>
    <row r="38" spans="1:14" ht="42.5" x14ac:dyDescent="0.35">
      <c r="A38" s="18" t="s">
        <v>2458</v>
      </c>
      <c r="B38" s="18" t="s">
        <v>2459</v>
      </c>
      <c r="C38" s="12" t="s">
        <v>122</v>
      </c>
      <c r="D38" s="18" t="s">
        <v>33</v>
      </c>
      <c r="E38" s="18" t="s">
        <v>2421</v>
      </c>
      <c r="F38" s="12" t="s">
        <v>57</v>
      </c>
      <c r="G38" s="12" t="s">
        <v>58</v>
      </c>
      <c r="H38" s="12" t="s">
        <v>386</v>
      </c>
      <c r="I38" s="12" t="s">
        <v>2460</v>
      </c>
      <c r="J38" s="12" t="s">
        <v>2461</v>
      </c>
      <c r="K38" s="12" t="s">
        <v>705</v>
      </c>
      <c r="L38" s="12" t="s">
        <v>209</v>
      </c>
      <c r="M38" s="18" t="s">
        <v>2462</v>
      </c>
      <c r="N38" s="18" t="s">
        <v>2463</v>
      </c>
    </row>
    <row r="39" spans="1:14" ht="42.5" x14ac:dyDescent="0.35">
      <c r="A39" s="12" t="s">
        <v>720</v>
      </c>
      <c r="B39" s="18" t="s">
        <v>721</v>
      </c>
      <c r="C39" s="12" t="s">
        <v>125</v>
      </c>
      <c r="D39" s="12"/>
      <c r="E39" s="12"/>
      <c r="F39" s="12" t="s">
        <v>55</v>
      </c>
      <c r="G39" s="12" t="s">
        <v>56</v>
      </c>
      <c r="H39" s="12" t="s">
        <v>259</v>
      </c>
      <c r="I39" s="12" t="s">
        <v>722</v>
      </c>
      <c r="J39" s="12" t="s">
        <v>723</v>
      </c>
      <c r="K39" s="12" t="s">
        <v>724</v>
      </c>
      <c r="L39" s="18" t="s">
        <v>4747</v>
      </c>
      <c r="M39" s="18" t="s">
        <v>4748</v>
      </c>
      <c r="N39" s="12" t="s">
        <v>4749</v>
      </c>
    </row>
    <row r="40" spans="1:14" x14ac:dyDescent="0.35">
      <c r="A40" s="18" t="s">
        <v>2610</v>
      </c>
      <c r="B40" s="18" t="s">
        <v>2611</v>
      </c>
      <c r="C40" s="12" t="s">
        <v>125</v>
      </c>
      <c r="D40" s="18"/>
      <c r="E40" s="18"/>
      <c r="F40" s="12" t="s">
        <v>55</v>
      </c>
      <c r="G40" s="12" t="s">
        <v>56</v>
      </c>
      <c r="H40" s="12" t="s">
        <v>198</v>
      </c>
      <c r="I40" s="12" t="s">
        <v>2612</v>
      </c>
      <c r="J40" s="12" t="s">
        <v>2613</v>
      </c>
      <c r="K40" s="12" t="s">
        <v>724</v>
      </c>
      <c r="L40" s="12" t="s">
        <v>2561</v>
      </c>
      <c r="M40" s="18" t="s">
        <v>2567</v>
      </c>
      <c r="N40" s="18"/>
    </row>
    <row r="41" spans="1:14" x14ac:dyDescent="0.35">
      <c r="A41" s="18" t="s">
        <v>2614</v>
      </c>
      <c r="B41" s="18" t="s">
        <v>2615</v>
      </c>
      <c r="C41" s="12" t="s">
        <v>125</v>
      </c>
      <c r="D41" s="18"/>
      <c r="E41" s="18"/>
      <c r="F41" s="12" t="s">
        <v>53</v>
      </c>
      <c r="G41" s="12" t="s">
        <v>54</v>
      </c>
      <c r="H41" s="12" t="s">
        <v>198</v>
      </c>
      <c r="I41" s="12" t="s">
        <v>763</v>
      </c>
      <c r="J41" s="12" t="s">
        <v>764</v>
      </c>
      <c r="K41" s="12" t="s">
        <v>724</v>
      </c>
      <c r="L41" s="12" t="s">
        <v>209</v>
      </c>
      <c r="M41" s="18" t="s">
        <v>2616</v>
      </c>
      <c r="N41" s="18" t="s">
        <v>2617</v>
      </c>
    </row>
    <row r="42" spans="1:14" ht="28.5" x14ac:dyDescent="0.35">
      <c r="A42" s="18" t="s">
        <v>2917</v>
      </c>
      <c r="B42" s="18" t="s">
        <v>2918</v>
      </c>
      <c r="C42" s="12" t="s">
        <v>128</v>
      </c>
      <c r="D42" s="18"/>
      <c r="E42" s="18"/>
      <c r="F42" s="12" t="s">
        <v>61</v>
      </c>
      <c r="G42" s="12" t="s">
        <v>62</v>
      </c>
      <c r="H42" s="12" t="s">
        <v>198</v>
      </c>
      <c r="I42" s="12" t="s">
        <v>791</v>
      </c>
      <c r="J42" s="12" t="s">
        <v>792</v>
      </c>
      <c r="K42" s="12" t="s">
        <v>724</v>
      </c>
      <c r="L42" s="12" t="s">
        <v>209</v>
      </c>
      <c r="M42" s="18" t="s">
        <v>2919</v>
      </c>
      <c r="N42" s="18" t="s">
        <v>2920</v>
      </c>
    </row>
    <row r="43" spans="1:14" ht="56.5" x14ac:dyDescent="0.35">
      <c r="A43" s="18" t="s">
        <v>2464</v>
      </c>
      <c r="B43" s="18" t="s">
        <v>2465</v>
      </c>
      <c r="C43" s="12" t="s">
        <v>122</v>
      </c>
      <c r="D43" s="18" t="s">
        <v>33</v>
      </c>
      <c r="E43" s="18" t="s">
        <v>2414</v>
      </c>
      <c r="F43" s="12" t="s">
        <v>53</v>
      </c>
      <c r="G43" s="12" t="s">
        <v>54</v>
      </c>
      <c r="H43" s="12" t="s">
        <v>198</v>
      </c>
      <c r="I43" s="12" t="s">
        <v>791</v>
      </c>
      <c r="J43" s="12" t="s">
        <v>792</v>
      </c>
      <c r="K43" s="12" t="s">
        <v>724</v>
      </c>
      <c r="L43" s="12" t="s">
        <v>209</v>
      </c>
      <c r="M43" s="18" t="s">
        <v>2466</v>
      </c>
      <c r="N43" s="18" t="s">
        <v>2467</v>
      </c>
    </row>
    <row r="44" spans="1:14" x14ac:dyDescent="0.35">
      <c r="A44" s="18" t="s">
        <v>2618</v>
      </c>
      <c r="B44" s="18" t="s">
        <v>2619</v>
      </c>
      <c r="C44" s="12" t="s">
        <v>125</v>
      </c>
      <c r="D44" s="18"/>
      <c r="E44" s="18"/>
      <c r="F44" s="12" t="s">
        <v>55</v>
      </c>
      <c r="G44" s="12" t="s">
        <v>56</v>
      </c>
      <c r="H44" s="12" t="s">
        <v>198</v>
      </c>
      <c r="I44" s="12" t="s">
        <v>2620</v>
      </c>
      <c r="J44" s="12" t="s">
        <v>2621</v>
      </c>
      <c r="K44" s="12" t="s">
        <v>806</v>
      </c>
      <c r="L44" s="12" t="s">
        <v>2561</v>
      </c>
      <c r="M44" s="18" t="s">
        <v>2567</v>
      </c>
      <c r="N44" s="18"/>
    </row>
    <row r="45" spans="1:14" ht="84.5" x14ac:dyDescent="0.35">
      <c r="A45" s="18" t="s">
        <v>3132</v>
      </c>
      <c r="B45" s="18" t="s">
        <v>3133</v>
      </c>
      <c r="C45" s="12" t="s">
        <v>23</v>
      </c>
      <c r="D45" s="18"/>
      <c r="E45" s="18"/>
      <c r="F45" s="12" t="s">
        <v>3134</v>
      </c>
      <c r="G45" s="12" t="s">
        <v>3135</v>
      </c>
      <c r="H45" s="12" t="s">
        <v>239</v>
      </c>
      <c r="I45" s="12" t="s">
        <v>3136</v>
      </c>
      <c r="J45" s="12" t="s">
        <v>3137</v>
      </c>
      <c r="K45" s="12" t="s">
        <v>806</v>
      </c>
      <c r="L45" s="12" t="s">
        <v>3095</v>
      </c>
      <c r="M45" s="18" t="s">
        <v>3138</v>
      </c>
      <c r="N45" s="18" t="s">
        <v>3139</v>
      </c>
    </row>
    <row r="46" spans="1:14" x14ac:dyDescent="0.35">
      <c r="A46" s="18" t="s">
        <v>2622</v>
      </c>
      <c r="B46" s="18" t="s">
        <v>2623</v>
      </c>
      <c r="C46" s="12" t="s">
        <v>125</v>
      </c>
      <c r="D46" s="18"/>
      <c r="E46" s="18"/>
      <c r="F46" s="12" t="s">
        <v>55</v>
      </c>
      <c r="G46" s="12" t="s">
        <v>56</v>
      </c>
      <c r="H46" s="12" t="s">
        <v>259</v>
      </c>
      <c r="I46" s="12" t="s">
        <v>2624</v>
      </c>
      <c r="J46" s="12" t="s">
        <v>2625</v>
      </c>
      <c r="K46" s="12" t="s">
        <v>806</v>
      </c>
      <c r="L46" s="12" t="s">
        <v>2561</v>
      </c>
      <c r="M46" s="18" t="s">
        <v>2567</v>
      </c>
      <c r="N46" s="18"/>
    </row>
    <row r="47" spans="1:14" x14ac:dyDescent="0.35">
      <c r="A47" s="18" t="s">
        <v>3140</v>
      </c>
      <c r="B47" s="18" t="s">
        <v>3141</v>
      </c>
      <c r="C47" s="12" t="s">
        <v>23</v>
      </c>
      <c r="D47" s="18"/>
      <c r="E47" s="18"/>
      <c r="F47" s="12" t="s">
        <v>3083</v>
      </c>
      <c r="G47" s="12" t="s">
        <v>3084</v>
      </c>
      <c r="H47" s="12" t="s">
        <v>239</v>
      </c>
      <c r="I47" s="12" t="s">
        <v>3142</v>
      </c>
      <c r="J47" s="12" t="s">
        <v>3143</v>
      </c>
      <c r="K47" s="12" t="s">
        <v>3144</v>
      </c>
      <c r="L47" s="12" t="s">
        <v>209</v>
      </c>
      <c r="M47" s="18" t="s">
        <v>3145</v>
      </c>
      <c r="N47" s="18" t="s">
        <v>3146</v>
      </c>
    </row>
    <row r="48" spans="1:14" x14ac:dyDescent="0.35">
      <c r="A48" s="18" t="s">
        <v>2631</v>
      </c>
      <c r="B48" s="18" t="s">
        <v>2253</v>
      </c>
      <c r="C48" s="12" t="s">
        <v>125</v>
      </c>
      <c r="D48" s="18"/>
      <c r="E48" s="18"/>
      <c r="F48" s="12" t="s">
        <v>83</v>
      </c>
      <c r="G48" s="12" t="s">
        <v>84</v>
      </c>
      <c r="H48" s="12" t="s">
        <v>198</v>
      </c>
      <c r="I48" s="12" t="s">
        <v>2632</v>
      </c>
      <c r="J48" s="12" t="s">
        <v>2633</v>
      </c>
      <c r="K48" s="12" t="s">
        <v>850</v>
      </c>
      <c r="L48" s="12" t="s">
        <v>2561</v>
      </c>
      <c r="M48" s="18" t="s">
        <v>2584</v>
      </c>
      <c r="N48" s="18"/>
    </row>
    <row r="49" spans="1:14" x14ac:dyDescent="0.35">
      <c r="A49" s="18" t="s">
        <v>2634</v>
      </c>
      <c r="B49" s="18" t="s">
        <v>2635</v>
      </c>
      <c r="C49" s="12" t="s">
        <v>125</v>
      </c>
      <c r="D49" s="18"/>
      <c r="E49" s="18"/>
      <c r="F49" s="12" t="s">
        <v>63</v>
      </c>
      <c r="G49" s="12" t="s">
        <v>64</v>
      </c>
      <c r="H49" s="12" t="s">
        <v>198</v>
      </c>
      <c r="I49" s="12" t="s">
        <v>2636</v>
      </c>
      <c r="J49" s="12" t="s">
        <v>2637</v>
      </c>
      <c r="K49" s="12" t="s">
        <v>850</v>
      </c>
      <c r="L49" s="12" t="s">
        <v>2561</v>
      </c>
      <c r="M49" s="18" t="s">
        <v>2630</v>
      </c>
      <c r="N49" s="18"/>
    </row>
    <row r="50" spans="1:14" ht="56.5" x14ac:dyDescent="0.35">
      <c r="A50" s="18" t="s">
        <v>2638</v>
      </c>
      <c r="B50" s="18" t="s">
        <v>2639</v>
      </c>
      <c r="C50" s="12" t="s">
        <v>122</v>
      </c>
      <c r="D50" s="18" t="s">
        <v>34</v>
      </c>
      <c r="E50" s="18" t="s">
        <v>2414</v>
      </c>
      <c r="F50" s="12" t="s">
        <v>63</v>
      </c>
      <c r="G50" s="12" t="s">
        <v>64</v>
      </c>
      <c r="H50" s="12" t="s">
        <v>259</v>
      </c>
      <c r="I50" s="12" t="s">
        <v>2640</v>
      </c>
      <c r="J50" s="12" t="s">
        <v>2641</v>
      </c>
      <c r="K50" s="12" t="s">
        <v>873</v>
      </c>
      <c r="L50" s="12" t="s">
        <v>216</v>
      </c>
      <c r="M50" s="18" t="s">
        <v>4750</v>
      </c>
      <c r="N50" s="18" t="s">
        <v>4751</v>
      </c>
    </row>
    <row r="51" spans="1:14" x14ac:dyDescent="0.35">
      <c r="A51" s="18" t="s">
        <v>3046</v>
      </c>
      <c r="B51" s="18" t="s">
        <v>3047</v>
      </c>
      <c r="C51" s="12" t="s">
        <v>131</v>
      </c>
      <c r="D51" s="18"/>
      <c r="E51" s="18"/>
      <c r="F51" s="12" t="s">
        <v>53</v>
      </c>
      <c r="G51" s="12" t="s">
        <v>54</v>
      </c>
      <c r="H51" s="12" t="s">
        <v>198</v>
      </c>
      <c r="I51" s="12" t="s">
        <v>3048</v>
      </c>
      <c r="J51" s="12" t="s">
        <v>3049</v>
      </c>
      <c r="K51" s="12" t="s">
        <v>873</v>
      </c>
      <c r="L51" s="12" t="s">
        <v>209</v>
      </c>
      <c r="M51" s="18" t="s">
        <v>3050</v>
      </c>
      <c r="N51" s="18" t="s">
        <v>3051</v>
      </c>
    </row>
    <row r="52" spans="1:14" x14ac:dyDescent="0.35">
      <c r="A52" s="18" t="s">
        <v>2642</v>
      </c>
      <c r="B52" s="18" t="s">
        <v>2643</v>
      </c>
      <c r="C52" s="12" t="s">
        <v>125</v>
      </c>
      <c r="D52" s="18"/>
      <c r="E52" s="18"/>
      <c r="F52" s="12" t="s">
        <v>63</v>
      </c>
      <c r="G52" s="12" t="s">
        <v>64</v>
      </c>
      <c r="H52" s="12" t="s">
        <v>198</v>
      </c>
      <c r="I52" s="12" t="s">
        <v>2644</v>
      </c>
      <c r="J52" s="12" t="s">
        <v>2645</v>
      </c>
      <c r="K52" s="12" t="s">
        <v>957</v>
      </c>
      <c r="L52" s="12" t="s">
        <v>2561</v>
      </c>
      <c r="M52" s="18" t="s">
        <v>2630</v>
      </c>
      <c r="N52" s="18"/>
    </row>
    <row r="53" spans="1:14" ht="56.5" x14ac:dyDescent="0.35">
      <c r="A53" s="18" t="s">
        <v>2468</v>
      </c>
      <c r="B53" s="18" t="s">
        <v>2469</v>
      </c>
      <c r="C53" s="12" t="s">
        <v>122</v>
      </c>
      <c r="D53" s="18" t="s">
        <v>33</v>
      </c>
      <c r="E53" s="18" t="s">
        <v>2414</v>
      </c>
      <c r="F53" s="12" t="s">
        <v>53</v>
      </c>
      <c r="G53" s="12" t="s">
        <v>54</v>
      </c>
      <c r="H53" s="12" t="s">
        <v>198</v>
      </c>
      <c r="I53" s="12" t="s">
        <v>2470</v>
      </c>
      <c r="J53" s="12" t="s">
        <v>970</v>
      </c>
      <c r="K53" s="12" t="s">
        <v>971</v>
      </c>
      <c r="L53" s="12" t="s">
        <v>209</v>
      </c>
      <c r="M53" s="18" t="s">
        <v>2471</v>
      </c>
      <c r="N53" s="18" t="s">
        <v>2472</v>
      </c>
    </row>
    <row r="54" spans="1:14" ht="28.5" x14ac:dyDescent="0.35">
      <c r="A54" s="18" t="s">
        <v>2921</v>
      </c>
      <c r="B54" s="18" t="s">
        <v>2922</v>
      </c>
      <c r="C54" s="12" t="s">
        <v>128</v>
      </c>
      <c r="D54" s="18"/>
      <c r="E54" s="18"/>
      <c r="F54" s="12" t="s">
        <v>53</v>
      </c>
      <c r="G54" s="12" t="s">
        <v>54</v>
      </c>
      <c r="H54" s="12" t="s">
        <v>198</v>
      </c>
      <c r="I54" s="12" t="s">
        <v>2923</v>
      </c>
      <c r="J54" s="12" t="s">
        <v>2924</v>
      </c>
      <c r="K54" s="12" t="s">
        <v>971</v>
      </c>
      <c r="L54" s="12" t="s">
        <v>209</v>
      </c>
      <c r="M54" s="18" t="s">
        <v>2925</v>
      </c>
      <c r="N54" s="18" t="s">
        <v>2926</v>
      </c>
    </row>
    <row r="55" spans="1:14" ht="28.5" x14ac:dyDescent="0.35">
      <c r="A55" s="18" t="s">
        <v>2649</v>
      </c>
      <c r="B55" s="18" t="s">
        <v>2650</v>
      </c>
      <c r="C55" s="12" t="s">
        <v>125</v>
      </c>
      <c r="D55" s="18"/>
      <c r="E55" s="18"/>
      <c r="F55" s="12" t="s">
        <v>57</v>
      </c>
      <c r="G55" s="12" t="s">
        <v>58</v>
      </c>
      <c r="H55" s="12" t="s">
        <v>259</v>
      </c>
      <c r="I55" s="12" t="s">
        <v>2651</v>
      </c>
      <c r="J55" s="12" t="s">
        <v>2652</v>
      </c>
      <c r="K55" s="12" t="s">
        <v>985</v>
      </c>
      <c r="L55" s="12" t="s">
        <v>2561</v>
      </c>
      <c r="M55" s="18" t="s">
        <v>2653</v>
      </c>
      <c r="N55" s="18"/>
    </row>
    <row r="56" spans="1:14" x14ac:dyDescent="0.35">
      <c r="A56" s="18" t="s">
        <v>2654</v>
      </c>
      <c r="B56" s="18" t="s">
        <v>2655</v>
      </c>
      <c r="C56" s="12" t="s">
        <v>125</v>
      </c>
      <c r="D56" s="18"/>
      <c r="E56" s="18"/>
      <c r="F56" s="12" t="s">
        <v>63</v>
      </c>
      <c r="G56" s="12" t="s">
        <v>64</v>
      </c>
      <c r="H56" s="12" t="s">
        <v>198</v>
      </c>
      <c r="I56" s="12" t="s">
        <v>983</v>
      </c>
      <c r="J56" s="12" t="s">
        <v>984</v>
      </c>
      <c r="K56" s="12" t="s">
        <v>985</v>
      </c>
      <c r="L56" s="12" t="s">
        <v>2561</v>
      </c>
      <c r="M56" s="18" t="s">
        <v>2630</v>
      </c>
      <c r="N56" s="18"/>
    </row>
    <row r="57" spans="1:14" ht="28.5" x14ac:dyDescent="0.35">
      <c r="A57" s="18" t="s">
        <v>3221</v>
      </c>
      <c r="B57" s="18" t="s">
        <v>3222</v>
      </c>
      <c r="C57" s="12" t="s">
        <v>134</v>
      </c>
      <c r="D57" s="18"/>
      <c r="E57" s="18"/>
      <c r="F57" s="12" t="s">
        <v>3006</v>
      </c>
      <c r="G57" s="12" t="s">
        <v>3007</v>
      </c>
      <c r="H57" s="12" t="s">
        <v>1961</v>
      </c>
      <c r="I57" s="12" t="s">
        <v>1057</v>
      </c>
      <c r="J57" s="12" t="s">
        <v>1058</v>
      </c>
      <c r="K57" s="12" t="s">
        <v>1047</v>
      </c>
      <c r="L57" s="12" t="s">
        <v>216</v>
      </c>
      <c r="M57" s="18" t="s">
        <v>4752</v>
      </c>
      <c r="N57" s="18" t="s">
        <v>4753</v>
      </c>
    </row>
    <row r="58" spans="1:14" ht="56.5" x14ac:dyDescent="0.35">
      <c r="A58" s="18" t="s">
        <v>2473</v>
      </c>
      <c r="B58" s="18" t="s">
        <v>2474</v>
      </c>
      <c r="C58" s="12" t="s">
        <v>122</v>
      </c>
      <c r="D58" s="18" t="s">
        <v>33</v>
      </c>
      <c r="E58" s="18" t="s">
        <v>2414</v>
      </c>
      <c r="F58" s="12" t="s">
        <v>53</v>
      </c>
      <c r="G58" s="12" t="s">
        <v>54</v>
      </c>
      <c r="H58" s="12" t="s">
        <v>198</v>
      </c>
      <c r="I58" s="12" t="s">
        <v>2475</v>
      </c>
      <c r="J58" s="12" t="s">
        <v>2476</v>
      </c>
      <c r="K58" s="12" t="s">
        <v>1047</v>
      </c>
      <c r="L58" s="12" t="s">
        <v>209</v>
      </c>
      <c r="M58" s="18" t="s">
        <v>2477</v>
      </c>
      <c r="N58" s="18" t="s">
        <v>2478</v>
      </c>
    </row>
    <row r="59" spans="1:14" ht="28.5" x14ac:dyDescent="0.35">
      <c r="A59" s="18" t="s">
        <v>2656</v>
      </c>
      <c r="B59" s="18" t="s">
        <v>2657</v>
      </c>
      <c r="C59" s="12" t="s">
        <v>125</v>
      </c>
      <c r="D59" s="18"/>
      <c r="E59" s="18"/>
      <c r="F59" s="12" t="s">
        <v>81</v>
      </c>
      <c r="G59" s="12" t="s">
        <v>82</v>
      </c>
      <c r="H59" s="12" t="s">
        <v>198</v>
      </c>
      <c r="I59" s="12" t="s">
        <v>2658</v>
      </c>
      <c r="J59" s="12" t="s">
        <v>2659</v>
      </c>
      <c r="K59" s="12" t="s">
        <v>1047</v>
      </c>
      <c r="L59" s="12" t="s">
        <v>2561</v>
      </c>
      <c r="M59" s="18" t="s">
        <v>2660</v>
      </c>
      <c r="N59" s="18"/>
    </row>
    <row r="60" spans="1:14" x14ac:dyDescent="0.35">
      <c r="A60" s="18" t="s">
        <v>2661</v>
      </c>
      <c r="B60" s="18" t="s">
        <v>2662</v>
      </c>
      <c r="C60" s="12" t="s">
        <v>125</v>
      </c>
      <c r="D60" s="18"/>
      <c r="E60" s="18"/>
      <c r="F60" s="12" t="s">
        <v>53</v>
      </c>
      <c r="G60" s="12" t="s">
        <v>54</v>
      </c>
      <c r="H60" s="12" t="s">
        <v>198</v>
      </c>
      <c r="I60" s="12" t="s">
        <v>1051</v>
      </c>
      <c r="J60" s="12" t="s">
        <v>1052</v>
      </c>
      <c r="K60" s="12" t="s">
        <v>1047</v>
      </c>
      <c r="L60" s="12" t="s">
        <v>209</v>
      </c>
      <c r="M60" s="18" t="s">
        <v>2663</v>
      </c>
      <c r="N60" s="18" t="s">
        <v>2664</v>
      </c>
    </row>
    <row r="61" spans="1:14" x14ac:dyDescent="0.35">
      <c r="A61" s="18" t="s">
        <v>2665</v>
      </c>
      <c r="B61" s="18" t="s">
        <v>2666</v>
      </c>
      <c r="C61" s="12" t="s">
        <v>125</v>
      </c>
      <c r="D61" s="18"/>
      <c r="E61" s="18"/>
      <c r="F61" s="12" t="s">
        <v>65</v>
      </c>
      <c r="G61" s="12" t="s">
        <v>66</v>
      </c>
      <c r="H61" s="12" t="s">
        <v>198</v>
      </c>
      <c r="I61" s="12" t="s">
        <v>2667</v>
      </c>
      <c r="J61" s="12" t="s">
        <v>1107</v>
      </c>
      <c r="K61" s="12" t="s">
        <v>1047</v>
      </c>
      <c r="L61" s="12" t="s">
        <v>2561</v>
      </c>
      <c r="M61" s="18" t="s">
        <v>2562</v>
      </c>
      <c r="N61" s="18"/>
    </row>
    <row r="62" spans="1:14" x14ac:dyDescent="0.35">
      <c r="A62" s="18" t="s">
        <v>2668</v>
      </c>
      <c r="B62" s="18" t="s">
        <v>2669</v>
      </c>
      <c r="C62" s="12" t="s">
        <v>125</v>
      </c>
      <c r="D62" s="18"/>
      <c r="E62" s="18"/>
      <c r="F62" s="12" t="s">
        <v>63</v>
      </c>
      <c r="G62" s="12" t="s">
        <v>64</v>
      </c>
      <c r="H62" s="12" t="s">
        <v>198</v>
      </c>
      <c r="I62" s="12" t="s">
        <v>2670</v>
      </c>
      <c r="J62" s="12" t="s">
        <v>1132</v>
      </c>
      <c r="K62" s="12" t="s">
        <v>1122</v>
      </c>
      <c r="L62" s="12" t="s">
        <v>2561</v>
      </c>
      <c r="M62" s="18" t="s">
        <v>2630</v>
      </c>
      <c r="N62" s="18"/>
    </row>
    <row r="63" spans="1:14" x14ac:dyDescent="0.35">
      <c r="A63" s="18" t="s">
        <v>2671</v>
      </c>
      <c r="B63" s="18" t="s">
        <v>2469</v>
      </c>
      <c r="C63" s="12" t="s">
        <v>125</v>
      </c>
      <c r="D63" s="18"/>
      <c r="E63" s="18"/>
      <c r="F63" s="12" t="s">
        <v>69</v>
      </c>
      <c r="G63" s="12" t="s">
        <v>70</v>
      </c>
      <c r="H63" s="12" t="s">
        <v>239</v>
      </c>
      <c r="I63" s="12" t="s">
        <v>2672</v>
      </c>
      <c r="J63" s="12" t="s">
        <v>2673</v>
      </c>
      <c r="K63" s="12" t="s">
        <v>1122</v>
      </c>
      <c r="L63" s="12" t="s">
        <v>2561</v>
      </c>
      <c r="M63" s="18" t="s">
        <v>2587</v>
      </c>
      <c r="N63" s="18"/>
    </row>
    <row r="64" spans="1:14" x14ac:dyDescent="0.35">
      <c r="A64" s="18" t="s">
        <v>2674</v>
      </c>
      <c r="B64" s="18" t="s">
        <v>2675</v>
      </c>
      <c r="C64" s="12" t="s">
        <v>125</v>
      </c>
      <c r="D64" s="18"/>
      <c r="E64" s="18"/>
      <c r="F64" s="12" t="s">
        <v>63</v>
      </c>
      <c r="G64" s="12" t="s">
        <v>64</v>
      </c>
      <c r="H64" s="12" t="s">
        <v>259</v>
      </c>
      <c r="I64" s="12" t="s">
        <v>2676</v>
      </c>
      <c r="J64" s="12" t="s">
        <v>2677</v>
      </c>
      <c r="K64" s="12" t="s">
        <v>1122</v>
      </c>
      <c r="L64" s="12" t="s">
        <v>2561</v>
      </c>
      <c r="M64" s="18" t="s">
        <v>2630</v>
      </c>
      <c r="N64" s="18"/>
    </row>
    <row r="65" spans="1:14" x14ac:dyDescent="0.35">
      <c r="A65" s="18" t="s">
        <v>2678</v>
      </c>
      <c r="B65" s="18" t="s">
        <v>2679</v>
      </c>
      <c r="C65" s="12" t="s">
        <v>125</v>
      </c>
      <c r="D65" s="18"/>
      <c r="E65" s="18"/>
      <c r="F65" s="12" t="s">
        <v>59</v>
      </c>
      <c r="G65" s="12" t="s">
        <v>60</v>
      </c>
      <c r="H65" s="12" t="s">
        <v>198</v>
      </c>
      <c r="I65" s="12" t="s">
        <v>2680</v>
      </c>
      <c r="J65" s="12" t="s">
        <v>2681</v>
      </c>
      <c r="K65" s="12" t="s">
        <v>1122</v>
      </c>
      <c r="L65" s="12" t="s">
        <v>2561</v>
      </c>
      <c r="M65" s="18" t="s">
        <v>2603</v>
      </c>
      <c r="N65" s="18"/>
    </row>
    <row r="66" spans="1:14" x14ac:dyDescent="0.35">
      <c r="A66" s="18" t="s">
        <v>2682</v>
      </c>
      <c r="B66" s="18" t="s">
        <v>2683</v>
      </c>
      <c r="C66" s="12" t="s">
        <v>125</v>
      </c>
      <c r="D66" s="18"/>
      <c r="E66" s="18"/>
      <c r="F66" s="12" t="s">
        <v>53</v>
      </c>
      <c r="G66" s="12" t="s">
        <v>54</v>
      </c>
      <c r="H66" s="12" t="s">
        <v>198</v>
      </c>
      <c r="I66" s="12" t="s">
        <v>2684</v>
      </c>
      <c r="J66" s="12" t="s">
        <v>2685</v>
      </c>
      <c r="K66" s="12" t="s">
        <v>1122</v>
      </c>
      <c r="L66" s="12" t="s">
        <v>2561</v>
      </c>
      <c r="M66" s="18" t="s">
        <v>2648</v>
      </c>
      <c r="N66" s="18"/>
    </row>
    <row r="67" spans="1:14" ht="56.5" x14ac:dyDescent="0.35">
      <c r="A67" s="18" t="s">
        <v>3052</v>
      </c>
      <c r="B67" s="18" t="s">
        <v>3053</v>
      </c>
      <c r="C67" s="12" t="s">
        <v>131</v>
      </c>
      <c r="D67" s="18"/>
      <c r="E67" s="18" t="s">
        <v>2414</v>
      </c>
      <c r="F67" s="12" t="s">
        <v>81</v>
      </c>
      <c r="G67" s="12" t="s">
        <v>82</v>
      </c>
      <c r="H67" s="12" t="s">
        <v>259</v>
      </c>
      <c r="I67" s="12" t="s">
        <v>3054</v>
      </c>
      <c r="J67" s="12" t="s">
        <v>3055</v>
      </c>
      <c r="K67" s="12" t="s">
        <v>1165</v>
      </c>
      <c r="L67" s="12" t="s">
        <v>209</v>
      </c>
      <c r="M67" s="18" t="s">
        <v>3056</v>
      </c>
      <c r="N67" s="18" t="s">
        <v>3057</v>
      </c>
    </row>
    <row r="68" spans="1:14" ht="56.5" x14ac:dyDescent="0.35">
      <c r="A68" s="18" t="s">
        <v>2686</v>
      </c>
      <c r="B68" s="18" t="s">
        <v>2687</v>
      </c>
      <c r="C68" s="12" t="s">
        <v>125</v>
      </c>
      <c r="D68" s="18"/>
      <c r="E68" s="18" t="s">
        <v>2414</v>
      </c>
      <c r="F68" s="12" t="s">
        <v>53</v>
      </c>
      <c r="G68" s="12" t="s">
        <v>54</v>
      </c>
      <c r="H68" s="12" t="s">
        <v>198</v>
      </c>
      <c r="I68" s="12" t="s">
        <v>2688</v>
      </c>
      <c r="J68" s="12" t="s">
        <v>2689</v>
      </c>
      <c r="K68" s="12" t="s">
        <v>1188</v>
      </c>
      <c r="L68" s="12" t="s">
        <v>2561</v>
      </c>
      <c r="M68" s="18" t="s">
        <v>2648</v>
      </c>
      <c r="N68" s="18"/>
    </row>
    <row r="69" spans="1:14" ht="56.5" x14ac:dyDescent="0.35">
      <c r="A69" s="18" t="s">
        <v>3223</v>
      </c>
      <c r="B69" s="18" t="s">
        <v>3224</v>
      </c>
      <c r="C69" s="12" t="s">
        <v>23</v>
      </c>
      <c r="D69" s="18"/>
      <c r="E69" s="18" t="s">
        <v>2403</v>
      </c>
      <c r="F69" s="12" t="s">
        <v>3225</v>
      </c>
      <c r="G69" s="12" t="s">
        <v>3226</v>
      </c>
      <c r="H69" s="12" t="s">
        <v>239</v>
      </c>
      <c r="I69" s="12" t="s">
        <v>2697</v>
      </c>
      <c r="J69" s="12" t="s">
        <v>2698</v>
      </c>
      <c r="K69" s="12" t="s">
        <v>1419</v>
      </c>
      <c r="L69" s="12" t="s">
        <v>216</v>
      </c>
      <c r="M69" s="18" t="s">
        <v>4754</v>
      </c>
      <c r="N69" s="18" t="s">
        <v>4755</v>
      </c>
    </row>
    <row r="70" spans="1:14" ht="56.5" x14ac:dyDescent="0.35">
      <c r="A70" s="18" t="s">
        <v>3147</v>
      </c>
      <c r="B70" s="18" t="s">
        <v>3148</v>
      </c>
      <c r="C70" s="12" t="s">
        <v>23</v>
      </c>
      <c r="D70" s="18"/>
      <c r="E70" s="18" t="s">
        <v>2414</v>
      </c>
      <c r="F70" s="12" t="s">
        <v>3091</v>
      </c>
      <c r="G70" s="12" t="s">
        <v>3092</v>
      </c>
      <c r="H70" s="12" t="s">
        <v>239</v>
      </c>
      <c r="I70" s="12" t="s">
        <v>2697</v>
      </c>
      <c r="J70" s="12" t="s">
        <v>2698</v>
      </c>
      <c r="K70" s="12" t="s">
        <v>1419</v>
      </c>
      <c r="L70" s="12" t="s">
        <v>3104</v>
      </c>
      <c r="M70" s="18" t="s">
        <v>3149</v>
      </c>
      <c r="N70" s="18"/>
    </row>
    <row r="71" spans="1:14" x14ac:dyDescent="0.35">
      <c r="A71" s="18" t="s">
        <v>2695</v>
      </c>
      <c r="B71" s="18" t="s">
        <v>2696</v>
      </c>
      <c r="C71" s="12" t="s">
        <v>125</v>
      </c>
      <c r="D71" s="18"/>
      <c r="E71" s="18"/>
      <c r="F71" s="12" t="s">
        <v>65</v>
      </c>
      <c r="G71" s="12" t="s">
        <v>66</v>
      </c>
      <c r="H71" s="12" t="s">
        <v>259</v>
      </c>
      <c r="I71" s="12" t="s">
        <v>2697</v>
      </c>
      <c r="J71" s="12" t="s">
        <v>2698</v>
      </c>
      <c r="K71" s="12" t="s">
        <v>1419</v>
      </c>
      <c r="L71" s="12" t="s">
        <v>2561</v>
      </c>
      <c r="M71" s="18" t="s">
        <v>2562</v>
      </c>
      <c r="N71" s="18"/>
    </row>
    <row r="72" spans="1:14" x14ac:dyDescent="0.35">
      <c r="A72" s="18" t="s">
        <v>3150</v>
      </c>
      <c r="B72" s="18" t="s">
        <v>3151</v>
      </c>
      <c r="C72" s="12" t="s">
        <v>23</v>
      </c>
      <c r="D72" s="18"/>
      <c r="E72" s="18"/>
      <c r="F72" s="12" t="s">
        <v>3152</v>
      </c>
      <c r="G72" s="12" t="s">
        <v>3153</v>
      </c>
      <c r="H72" s="12" t="s">
        <v>386</v>
      </c>
      <c r="I72" s="12" t="s">
        <v>2697</v>
      </c>
      <c r="J72" s="12" t="s">
        <v>2698</v>
      </c>
      <c r="K72" s="12" t="s">
        <v>1419</v>
      </c>
      <c r="L72" s="12" t="s">
        <v>3104</v>
      </c>
      <c r="M72" s="18" t="s">
        <v>3154</v>
      </c>
      <c r="N72" s="18"/>
    </row>
    <row r="73" spans="1:14" ht="42.5" x14ac:dyDescent="0.35">
      <c r="A73" s="18" t="s">
        <v>3155</v>
      </c>
      <c r="B73" s="18" t="s">
        <v>3156</v>
      </c>
      <c r="C73" s="12" t="s">
        <v>23</v>
      </c>
      <c r="D73" s="18"/>
      <c r="E73" s="18"/>
      <c r="F73" s="12" t="s">
        <v>3157</v>
      </c>
      <c r="G73" s="12" t="s">
        <v>3158</v>
      </c>
      <c r="H73" s="12" t="s">
        <v>239</v>
      </c>
      <c r="I73" s="12" t="s">
        <v>2697</v>
      </c>
      <c r="J73" s="12" t="s">
        <v>2698</v>
      </c>
      <c r="K73" s="12" t="s">
        <v>1419</v>
      </c>
      <c r="L73" s="12" t="s">
        <v>3095</v>
      </c>
      <c r="M73" s="18" t="s">
        <v>3159</v>
      </c>
      <c r="N73" s="18" t="s">
        <v>3160</v>
      </c>
    </row>
    <row r="74" spans="1:14" x14ac:dyDescent="0.35">
      <c r="A74" s="18" t="s">
        <v>2699</v>
      </c>
      <c r="B74" s="18" t="s">
        <v>2700</v>
      </c>
      <c r="C74" s="12" t="s">
        <v>125</v>
      </c>
      <c r="D74" s="18"/>
      <c r="E74" s="18"/>
      <c r="F74" s="12" t="s">
        <v>73</v>
      </c>
      <c r="G74" s="12" t="s">
        <v>74</v>
      </c>
      <c r="H74" s="12" t="s">
        <v>198</v>
      </c>
      <c r="I74" s="12" t="s">
        <v>2697</v>
      </c>
      <c r="J74" s="12" t="s">
        <v>2701</v>
      </c>
      <c r="K74" s="12" t="s">
        <v>1419</v>
      </c>
      <c r="L74" s="12" t="s">
        <v>209</v>
      </c>
      <c r="M74" s="18" t="s">
        <v>2702</v>
      </c>
      <c r="N74" s="18" t="s">
        <v>2703</v>
      </c>
    </row>
    <row r="75" spans="1:14" x14ac:dyDescent="0.35">
      <c r="A75" s="18" t="s">
        <v>3161</v>
      </c>
      <c r="B75" s="18" t="s">
        <v>3162</v>
      </c>
      <c r="C75" s="12" t="s">
        <v>23</v>
      </c>
      <c r="D75" s="18"/>
      <c r="E75" s="18"/>
      <c r="F75" s="12" t="s">
        <v>3163</v>
      </c>
      <c r="G75" s="12" t="s">
        <v>3164</v>
      </c>
      <c r="H75" s="12" t="s">
        <v>386</v>
      </c>
      <c r="I75" s="12" t="s">
        <v>2697</v>
      </c>
      <c r="J75" s="12" t="s">
        <v>2698</v>
      </c>
      <c r="K75" s="12" t="s">
        <v>1419</v>
      </c>
      <c r="L75" s="12" t="s">
        <v>3104</v>
      </c>
      <c r="M75" s="18" t="s">
        <v>3165</v>
      </c>
      <c r="N75" s="18"/>
    </row>
    <row r="76" spans="1:14" x14ac:dyDescent="0.35">
      <c r="A76" s="18" t="s">
        <v>3166</v>
      </c>
      <c r="B76" s="18" t="s">
        <v>3167</v>
      </c>
      <c r="C76" s="12" t="s">
        <v>23</v>
      </c>
      <c r="D76" s="18"/>
      <c r="E76" s="18"/>
      <c r="F76" s="12" t="s">
        <v>3168</v>
      </c>
      <c r="G76" s="12" t="s">
        <v>3169</v>
      </c>
      <c r="H76" s="12" t="s">
        <v>198</v>
      </c>
      <c r="I76" s="12" t="s">
        <v>2697</v>
      </c>
      <c r="J76" s="12" t="s">
        <v>3170</v>
      </c>
      <c r="K76" s="12" t="s">
        <v>1419</v>
      </c>
      <c r="L76" s="12" t="s">
        <v>3104</v>
      </c>
      <c r="M76" s="18" t="s">
        <v>3171</v>
      </c>
      <c r="N76" s="18"/>
    </row>
    <row r="77" spans="1:14" ht="56.5" x14ac:dyDescent="0.35">
      <c r="A77" s="18" t="s">
        <v>2479</v>
      </c>
      <c r="B77" s="18" t="s">
        <v>2480</v>
      </c>
      <c r="C77" s="12" t="s">
        <v>122</v>
      </c>
      <c r="D77" s="18" t="s">
        <v>33</v>
      </c>
      <c r="E77" s="18" t="s">
        <v>2414</v>
      </c>
      <c r="F77" s="12" t="s">
        <v>59</v>
      </c>
      <c r="G77" s="12" t="s">
        <v>60</v>
      </c>
      <c r="H77" s="12" t="s">
        <v>198</v>
      </c>
      <c r="I77" s="12" t="s">
        <v>2481</v>
      </c>
      <c r="J77" s="12" t="s">
        <v>2482</v>
      </c>
      <c r="K77" s="12" t="s">
        <v>1419</v>
      </c>
      <c r="L77" s="12" t="s">
        <v>209</v>
      </c>
      <c r="M77" s="18" t="s">
        <v>2483</v>
      </c>
      <c r="N77" s="18" t="s">
        <v>2484</v>
      </c>
    </row>
    <row r="78" spans="1:14" x14ac:dyDescent="0.35">
      <c r="A78" s="18" t="s">
        <v>3172</v>
      </c>
      <c r="B78" s="18" t="s">
        <v>3173</v>
      </c>
      <c r="C78" s="12" t="s">
        <v>23</v>
      </c>
      <c r="D78" s="18"/>
      <c r="E78" s="18"/>
      <c r="F78" s="12" t="s">
        <v>3168</v>
      </c>
      <c r="G78" s="12" t="s">
        <v>3169</v>
      </c>
      <c r="H78" s="12" t="s">
        <v>198</v>
      </c>
      <c r="I78" s="12" t="s">
        <v>2697</v>
      </c>
      <c r="J78" s="12" t="s">
        <v>2698</v>
      </c>
      <c r="K78" s="12" t="s">
        <v>1419</v>
      </c>
      <c r="L78" s="12" t="s">
        <v>3095</v>
      </c>
      <c r="M78" s="18" t="s">
        <v>3174</v>
      </c>
      <c r="N78" s="18" t="s">
        <v>3175</v>
      </c>
    </row>
    <row r="79" spans="1:14" x14ac:dyDescent="0.35">
      <c r="A79" s="18" t="s">
        <v>3176</v>
      </c>
      <c r="B79" s="18" t="s">
        <v>3177</v>
      </c>
      <c r="C79" s="12" t="s">
        <v>23</v>
      </c>
      <c r="D79" s="18"/>
      <c r="E79" s="18"/>
      <c r="F79" s="12" t="s">
        <v>91</v>
      </c>
      <c r="G79" s="12" t="s">
        <v>92</v>
      </c>
      <c r="H79" s="12" t="s">
        <v>198</v>
      </c>
      <c r="I79" s="12" t="s">
        <v>2697</v>
      </c>
      <c r="J79" s="12" t="s">
        <v>2698</v>
      </c>
      <c r="K79" s="12" t="s">
        <v>1419</v>
      </c>
      <c r="L79" s="12" t="s">
        <v>3104</v>
      </c>
      <c r="M79" s="18" t="s">
        <v>3178</v>
      </c>
      <c r="N79" s="18"/>
    </row>
    <row r="80" spans="1:14" ht="28.5" x14ac:dyDescent="0.35">
      <c r="A80" s="18" t="s">
        <v>2704</v>
      </c>
      <c r="B80" s="18" t="s">
        <v>2705</v>
      </c>
      <c r="C80" s="12" t="s">
        <v>125</v>
      </c>
      <c r="D80" s="18"/>
      <c r="E80" s="18"/>
      <c r="F80" s="12" t="s">
        <v>53</v>
      </c>
      <c r="G80" s="12" t="s">
        <v>54</v>
      </c>
      <c r="H80" s="12" t="s">
        <v>259</v>
      </c>
      <c r="I80" s="12" t="s">
        <v>2706</v>
      </c>
      <c r="J80" s="12" t="s">
        <v>2707</v>
      </c>
      <c r="K80" s="12" t="s">
        <v>1419</v>
      </c>
      <c r="L80" s="12" t="s">
        <v>2561</v>
      </c>
      <c r="M80" s="18" t="s">
        <v>2648</v>
      </c>
      <c r="N80" s="18"/>
    </row>
    <row r="81" spans="1:14" x14ac:dyDescent="0.35">
      <c r="A81" s="18" t="s">
        <v>2712</v>
      </c>
      <c r="B81" s="18" t="s">
        <v>2713</v>
      </c>
      <c r="C81" s="12" t="s">
        <v>125</v>
      </c>
      <c r="D81" s="18"/>
      <c r="E81" s="18"/>
      <c r="F81" s="12" t="s">
        <v>65</v>
      </c>
      <c r="G81" s="12" t="s">
        <v>66</v>
      </c>
      <c r="H81" s="12" t="s">
        <v>198</v>
      </c>
      <c r="I81" s="12" t="s">
        <v>2714</v>
      </c>
      <c r="J81" s="12" t="s">
        <v>2715</v>
      </c>
      <c r="K81" s="12" t="s">
        <v>1476</v>
      </c>
      <c r="L81" s="12" t="s">
        <v>2561</v>
      </c>
      <c r="M81" s="18" t="s">
        <v>2562</v>
      </c>
      <c r="N81" s="18"/>
    </row>
    <row r="82" spans="1:14" ht="28.5" x14ac:dyDescent="0.35">
      <c r="A82" s="18" t="s">
        <v>2716</v>
      </c>
      <c r="B82" s="18" t="s">
        <v>2717</v>
      </c>
      <c r="C82" s="12" t="s">
        <v>125</v>
      </c>
      <c r="D82" s="18"/>
      <c r="E82" s="18"/>
      <c r="F82" s="12" t="s">
        <v>65</v>
      </c>
      <c r="G82" s="12" t="s">
        <v>66</v>
      </c>
      <c r="H82" s="12" t="s">
        <v>198</v>
      </c>
      <c r="I82" s="12" t="s">
        <v>2718</v>
      </c>
      <c r="J82" s="12" t="s">
        <v>2719</v>
      </c>
      <c r="K82" s="12" t="s">
        <v>1511</v>
      </c>
      <c r="L82" s="12" t="s">
        <v>2561</v>
      </c>
      <c r="M82" s="18" t="s">
        <v>2562</v>
      </c>
      <c r="N82" s="18"/>
    </row>
    <row r="83" spans="1:14" ht="42.5" x14ac:dyDescent="0.35">
      <c r="A83" s="18" t="s">
        <v>2720</v>
      </c>
      <c r="B83" s="18" t="s">
        <v>2721</v>
      </c>
      <c r="C83" s="12" t="s">
        <v>125</v>
      </c>
      <c r="D83" s="18"/>
      <c r="E83" s="18"/>
      <c r="F83" s="12" t="s">
        <v>57</v>
      </c>
      <c r="G83" s="12" t="s">
        <v>58</v>
      </c>
      <c r="H83" s="12" t="s">
        <v>259</v>
      </c>
      <c r="I83" s="12" t="s">
        <v>2722</v>
      </c>
      <c r="J83" s="12" t="s">
        <v>2723</v>
      </c>
      <c r="K83" s="12" t="s">
        <v>1511</v>
      </c>
      <c r="L83" s="12" t="s">
        <v>209</v>
      </c>
      <c r="M83" s="18" t="s">
        <v>2724</v>
      </c>
      <c r="N83" s="18" t="s">
        <v>2725</v>
      </c>
    </row>
    <row r="84" spans="1:14" ht="42.5" x14ac:dyDescent="0.35">
      <c r="A84" s="18" t="s">
        <v>2485</v>
      </c>
      <c r="B84" s="18" t="s">
        <v>2486</v>
      </c>
      <c r="C84" s="12" t="s">
        <v>122</v>
      </c>
      <c r="D84" s="18" t="s">
        <v>33</v>
      </c>
      <c r="E84" s="18" t="s">
        <v>2421</v>
      </c>
      <c r="F84" s="12" t="s">
        <v>63</v>
      </c>
      <c r="G84" s="12" t="s">
        <v>64</v>
      </c>
      <c r="H84" s="12" t="s">
        <v>239</v>
      </c>
      <c r="I84" s="12" t="s">
        <v>2487</v>
      </c>
      <c r="J84" s="12" t="s">
        <v>2488</v>
      </c>
      <c r="K84" s="12" t="s">
        <v>1511</v>
      </c>
      <c r="L84" s="12" t="s">
        <v>216</v>
      </c>
      <c r="M84" s="18" t="s">
        <v>2489</v>
      </c>
      <c r="N84" s="18" t="s">
        <v>2490</v>
      </c>
    </row>
    <row r="85" spans="1:14" ht="56.5" x14ac:dyDescent="0.35">
      <c r="A85" s="18" t="s">
        <v>2491</v>
      </c>
      <c r="B85" s="18" t="s">
        <v>2492</v>
      </c>
      <c r="C85" s="12" t="s">
        <v>122</v>
      </c>
      <c r="D85" s="18" t="s">
        <v>33</v>
      </c>
      <c r="E85" s="18" t="s">
        <v>2414</v>
      </c>
      <c r="F85" s="12" t="s">
        <v>73</v>
      </c>
      <c r="G85" s="12" t="s">
        <v>74</v>
      </c>
      <c r="H85" s="12" t="s">
        <v>198</v>
      </c>
      <c r="I85" s="12" t="s">
        <v>2493</v>
      </c>
      <c r="J85" s="12" t="s">
        <v>2494</v>
      </c>
      <c r="K85" s="12" t="s">
        <v>1511</v>
      </c>
      <c r="L85" s="12" t="s">
        <v>209</v>
      </c>
      <c r="M85" s="18" t="s">
        <v>2495</v>
      </c>
      <c r="N85" s="18" t="s">
        <v>2496</v>
      </c>
    </row>
    <row r="86" spans="1:14" x14ac:dyDescent="0.35">
      <c r="A86" s="18" t="s">
        <v>3227</v>
      </c>
      <c r="B86" s="18" t="s">
        <v>3228</v>
      </c>
      <c r="C86" s="12" t="s">
        <v>134</v>
      </c>
      <c r="D86" s="18"/>
      <c r="E86" s="18"/>
      <c r="F86" s="12" t="s">
        <v>77</v>
      </c>
      <c r="G86" s="12" t="s">
        <v>78</v>
      </c>
      <c r="H86" s="12" t="s">
        <v>198</v>
      </c>
      <c r="I86" s="12" t="s">
        <v>3229</v>
      </c>
      <c r="J86" s="12" t="s">
        <v>3230</v>
      </c>
      <c r="K86" s="12" t="s">
        <v>1602</v>
      </c>
      <c r="L86" s="12" t="s">
        <v>216</v>
      </c>
      <c r="M86" s="18" t="s">
        <v>4756</v>
      </c>
      <c r="N86" s="18" t="s">
        <v>4757</v>
      </c>
    </row>
    <row r="87" spans="1:14" ht="56.5" x14ac:dyDescent="0.35">
      <c r="A87" s="18" t="s">
        <v>2497</v>
      </c>
      <c r="B87" s="18" t="s">
        <v>2498</v>
      </c>
      <c r="C87" s="12" t="s">
        <v>122</v>
      </c>
      <c r="D87" s="18" t="s">
        <v>33</v>
      </c>
      <c r="E87" s="18" t="s">
        <v>2414</v>
      </c>
      <c r="F87" s="12" t="s">
        <v>53</v>
      </c>
      <c r="G87" s="12" t="s">
        <v>54</v>
      </c>
      <c r="H87" s="12" t="s">
        <v>198</v>
      </c>
      <c r="I87" s="12" t="s">
        <v>2499</v>
      </c>
      <c r="J87" s="12" t="s">
        <v>2500</v>
      </c>
      <c r="K87" s="12" t="s">
        <v>1615</v>
      </c>
      <c r="L87" s="12" t="s">
        <v>209</v>
      </c>
      <c r="M87" s="18" t="s">
        <v>2501</v>
      </c>
      <c r="N87" s="18" t="s">
        <v>2502</v>
      </c>
    </row>
    <row r="88" spans="1:14" ht="56.5" x14ac:dyDescent="0.35">
      <c r="A88" s="18" t="s">
        <v>2503</v>
      </c>
      <c r="B88" s="18" t="s">
        <v>2504</v>
      </c>
      <c r="C88" s="12" t="s">
        <v>122</v>
      </c>
      <c r="D88" s="18" t="s">
        <v>33</v>
      </c>
      <c r="E88" s="18" t="s">
        <v>2414</v>
      </c>
      <c r="F88" s="12" t="s">
        <v>69</v>
      </c>
      <c r="G88" s="12" t="s">
        <v>70</v>
      </c>
      <c r="H88" s="12" t="s">
        <v>198</v>
      </c>
      <c r="I88" s="12" t="s">
        <v>1624</v>
      </c>
      <c r="J88" s="12" t="s">
        <v>1625</v>
      </c>
      <c r="K88" s="12" t="s">
        <v>1615</v>
      </c>
      <c r="L88" s="12" t="s">
        <v>209</v>
      </c>
      <c r="M88" s="18" t="s">
        <v>2505</v>
      </c>
      <c r="N88" s="18" t="s">
        <v>2506</v>
      </c>
    </row>
    <row r="89" spans="1:14" ht="56.5" x14ac:dyDescent="0.35">
      <c r="A89" s="18" t="s">
        <v>2507</v>
      </c>
      <c r="B89" s="18" t="s">
        <v>2508</v>
      </c>
      <c r="C89" s="12" t="s">
        <v>122</v>
      </c>
      <c r="D89" s="18" t="s">
        <v>33</v>
      </c>
      <c r="E89" s="18" t="s">
        <v>2414</v>
      </c>
      <c r="F89" s="12" t="s">
        <v>55</v>
      </c>
      <c r="G89" s="12" t="s">
        <v>56</v>
      </c>
      <c r="H89" s="12" t="s">
        <v>239</v>
      </c>
      <c r="I89" s="12" t="s">
        <v>2499</v>
      </c>
      <c r="J89" s="12" t="s">
        <v>2509</v>
      </c>
      <c r="K89" s="12" t="s">
        <v>1615</v>
      </c>
      <c r="L89" s="12" t="s">
        <v>209</v>
      </c>
      <c r="M89" s="18" t="s">
        <v>2510</v>
      </c>
      <c r="N89" s="18" t="s">
        <v>2511</v>
      </c>
    </row>
    <row r="90" spans="1:14" ht="56.5" x14ac:dyDescent="0.35">
      <c r="A90" s="12" t="s">
        <v>1635</v>
      </c>
      <c r="B90" s="18" t="s">
        <v>1636</v>
      </c>
      <c r="C90" s="12" t="s">
        <v>122</v>
      </c>
      <c r="D90" s="12" t="s">
        <v>33</v>
      </c>
      <c r="E90" s="18" t="s">
        <v>2414</v>
      </c>
      <c r="F90" s="12" t="s">
        <v>53</v>
      </c>
      <c r="G90" s="12" t="s">
        <v>54</v>
      </c>
      <c r="H90" s="12" t="s">
        <v>198</v>
      </c>
      <c r="I90" s="12" t="s">
        <v>1637</v>
      </c>
      <c r="J90" s="12" t="s">
        <v>1638</v>
      </c>
      <c r="K90" s="12" t="s">
        <v>1632</v>
      </c>
      <c r="L90" s="18" t="s">
        <v>209</v>
      </c>
      <c r="M90" s="18" t="s">
        <v>1639</v>
      </c>
      <c r="N90" s="18" t="s">
        <v>1640</v>
      </c>
    </row>
    <row r="91" spans="1:14" ht="56.5" x14ac:dyDescent="0.35">
      <c r="A91" s="12" t="s">
        <v>1641</v>
      </c>
      <c r="B91" s="18" t="s">
        <v>1642</v>
      </c>
      <c r="C91" s="12" t="s">
        <v>122</v>
      </c>
      <c r="D91" s="12" t="s">
        <v>33</v>
      </c>
      <c r="E91" s="18" t="s">
        <v>2414</v>
      </c>
      <c r="F91" s="12" t="s">
        <v>53</v>
      </c>
      <c r="G91" s="12" t="s">
        <v>54</v>
      </c>
      <c r="H91" s="12" t="s">
        <v>259</v>
      </c>
      <c r="I91" s="12" t="s">
        <v>1637</v>
      </c>
      <c r="J91" s="12" t="s">
        <v>1638</v>
      </c>
      <c r="K91" s="12" t="s">
        <v>1632</v>
      </c>
      <c r="L91" s="18" t="s">
        <v>209</v>
      </c>
      <c r="M91" s="18" t="s">
        <v>1643</v>
      </c>
      <c r="N91" s="18" t="s">
        <v>1644</v>
      </c>
    </row>
    <row r="92" spans="1:14" x14ac:dyDescent="0.35">
      <c r="A92" s="18" t="s">
        <v>3058</v>
      </c>
      <c r="B92" s="18" t="s">
        <v>3059</v>
      </c>
      <c r="C92" s="12" t="s">
        <v>131</v>
      </c>
      <c r="D92" s="18"/>
      <c r="E92" s="18"/>
      <c r="F92" s="12" t="s">
        <v>3060</v>
      </c>
      <c r="G92" s="12" t="s">
        <v>3061</v>
      </c>
      <c r="H92" s="12" t="s">
        <v>239</v>
      </c>
      <c r="I92" s="12" t="s">
        <v>3062</v>
      </c>
      <c r="J92" s="12" t="s">
        <v>3063</v>
      </c>
      <c r="K92" s="12" t="s">
        <v>1632</v>
      </c>
      <c r="L92" s="12" t="s">
        <v>209</v>
      </c>
      <c r="M92" s="18" t="s">
        <v>3064</v>
      </c>
      <c r="N92" s="18" t="s">
        <v>3065</v>
      </c>
    </row>
    <row r="93" spans="1:14" x14ac:dyDescent="0.35">
      <c r="A93" s="18" t="s">
        <v>3179</v>
      </c>
      <c r="B93" s="18" t="s">
        <v>3180</v>
      </c>
      <c r="C93" s="12" t="s">
        <v>23</v>
      </c>
      <c r="D93" s="18"/>
      <c r="E93" s="18"/>
      <c r="F93" s="12" t="s">
        <v>3181</v>
      </c>
      <c r="G93" s="12" t="s">
        <v>3182</v>
      </c>
      <c r="H93" s="12" t="s">
        <v>259</v>
      </c>
      <c r="I93" s="12" t="s">
        <v>3183</v>
      </c>
      <c r="J93" s="12" t="s">
        <v>3184</v>
      </c>
      <c r="K93" s="12" t="s">
        <v>1632</v>
      </c>
      <c r="L93" s="12" t="s">
        <v>3104</v>
      </c>
      <c r="M93" s="18" t="s">
        <v>3185</v>
      </c>
      <c r="N93" s="18"/>
    </row>
    <row r="94" spans="1:14" ht="42.5" x14ac:dyDescent="0.35">
      <c r="A94" s="18" t="s">
        <v>2728</v>
      </c>
      <c r="B94" s="18" t="s">
        <v>2729</v>
      </c>
      <c r="C94" s="12" t="s">
        <v>125</v>
      </c>
      <c r="D94" s="18"/>
      <c r="E94" s="18"/>
      <c r="F94" s="12" t="s">
        <v>55</v>
      </c>
      <c r="G94" s="12" t="s">
        <v>56</v>
      </c>
      <c r="H94" s="12" t="s">
        <v>198</v>
      </c>
      <c r="I94" s="12" t="s">
        <v>2730</v>
      </c>
      <c r="J94" s="12" t="s">
        <v>2731</v>
      </c>
      <c r="K94" s="12" t="s">
        <v>1662</v>
      </c>
      <c r="L94" s="12" t="s">
        <v>2561</v>
      </c>
      <c r="M94" s="18" t="s">
        <v>2567</v>
      </c>
      <c r="N94" s="18"/>
    </row>
    <row r="95" spans="1:14" x14ac:dyDescent="0.35">
      <c r="A95" s="18" t="s">
        <v>2931</v>
      </c>
      <c r="B95" s="18" t="s">
        <v>2932</v>
      </c>
      <c r="C95" s="12" t="s">
        <v>128</v>
      </c>
      <c r="D95" s="18"/>
      <c r="E95" s="18"/>
      <c r="F95" s="12" t="s">
        <v>55</v>
      </c>
      <c r="G95" s="12" t="s">
        <v>56</v>
      </c>
      <c r="H95" s="12" t="s">
        <v>239</v>
      </c>
      <c r="I95" s="12" t="s">
        <v>2933</v>
      </c>
      <c r="J95" s="12" t="s">
        <v>2934</v>
      </c>
      <c r="K95" s="12" t="s">
        <v>1662</v>
      </c>
      <c r="L95" s="12" t="s">
        <v>216</v>
      </c>
      <c r="M95" s="18" t="s">
        <v>2935</v>
      </c>
      <c r="N95" s="18" t="s">
        <v>2936</v>
      </c>
    </row>
    <row r="96" spans="1:14" x14ac:dyDescent="0.35">
      <c r="A96" s="18" t="s">
        <v>3066</v>
      </c>
      <c r="B96" s="18" t="s">
        <v>3067</v>
      </c>
      <c r="C96" s="12" t="s">
        <v>131</v>
      </c>
      <c r="D96" s="18"/>
      <c r="E96" s="18"/>
      <c r="F96" s="12" t="s">
        <v>63</v>
      </c>
      <c r="G96" s="12" t="s">
        <v>64</v>
      </c>
      <c r="H96" s="12" t="s">
        <v>198</v>
      </c>
      <c r="I96" s="12" t="s">
        <v>1723</v>
      </c>
      <c r="J96" s="12" t="s">
        <v>1724</v>
      </c>
      <c r="K96" s="12" t="s">
        <v>1678</v>
      </c>
      <c r="L96" s="12" t="s">
        <v>209</v>
      </c>
      <c r="M96" s="18" t="s">
        <v>3068</v>
      </c>
      <c r="N96" s="18" t="s">
        <v>3069</v>
      </c>
    </row>
    <row r="97" spans="1:14" ht="56.5" x14ac:dyDescent="0.35">
      <c r="A97" s="18" t="s">
        <v>2732</v>
      </c>
      <c r="B97" s="18" t="s">
        <v>2733</v>
      </c>
      <c r="C97" s="12" t="s">
        <v>122</v>
      </c>
      <c r="D97" s="18" t="s">
        <v>34</v>
      </c>
      <c r="E97" s="18" t="s">
        <v>2403</v>
      </c>
      <c r="F97" s="12" t="s">
        <v>63</v>
      </c>
      <c r="G97" s="12" t="s">
        <v>64</v>
      </c>
      <c r="H97" s="12" t="s">
        <v>198</v>
      </c>
      <c r="I97" s="12" t="s">
        <v>2734</v>
      </c>
      <c r="J97" s="12" t="s">
        <v>2735</v>
      </c>
      <c r="K97" s="12" t="s">
        <v>1678</v>
      </c>
      <c r="L97" s="12" t="s">
        <v>216</v>
      </c>
      <c r="M97" s="18" t="s">
        <v>4758</v>
      </c>
      <c r="N97" s="18" t="s">
        <v>4759</v>
      </c>
    </row>
    <row r="98" spans="1:14" ht="28.5" x14ac:dyDescent="0.35">
      <c r="A98" s="18" t="s">
        <v>2937</v>
      </c>
      <c r="B98" s="18" t="s">
        <v>2938</v>
      </c>
      <c r="C98" s="12" t="s">
        <v>128</v>
      </c>
      <c r="D98" s="18"/>
      <c r="E98" s="18"/>
      <c r="F98" s="12" t="s">
        <v>57</v>
      </c>
      <c r="G98" s="12" t="s">
        <v>58</v>
      </c>
      <c r="H98" s="12" t="s">
        <v>198</v>
      </c>
      <c r="I98" s="12" t="s">
        <v>2939</v>
      </c>
      <c r="J98" s="12" t="s">
        <v>2940</v>
      </c>
      <c r="K98" s="12" t="s">
        <v>1678</v>
      </c>
      <c r="L98" s="12" t="s">
        <v>209</v>
      </c>
      <c r="M98" s="18" t="s">
        <v>2941</v>
      </c>
      <c r="N98" s="18" t="s">
        <v>2942</v>
      </c>
    </row>
    <row r="99" spans="1:14" x14ac:dyDescent="0.35">
      <c r="A99" s="18" t="s">
        <v>2943</v>
      </c>
      <c r="B99" s="18" t="s">
        <v>2944</v>
      </c>
      <c r="C99" s="12" t="s">
        <v>128</v>
      </c>
      <c r="D99" s="18"/>
      <c r="E99" s="18"/>
      <c r="F99" s="12" t="s">
        <v>53</v>
      </c>
      <c r="G99" s="12" t="s">
        <v>54</v>
      </c>
      <c r="H99" s="12" t="s">
        <v>259</v>
      </c>
      <c r="I99" s="12" t="s">
        <v>2945</v>
      </c>
      <c r="J99" s="12" t="s">
        <v>2946</v>
      </c>
      <c r="K99" s="12" t="s">
        <v>1678</v>
      </c>
      <c r="L99" s="12" t="s">
        <v>209</v>
      </c>
      <c r="M99" s="18" t="s">
        <v>2947</v>
      </c>
      <c r="N99" s="18" t="s">
        <v>2948</v>
      </c>
    </row>
    <row r="100" spans="1:14" x14ac:dyDescent="0.35">
      <c r="A100" s="18" t="s">
        <v>2736</v>
      </c>
      <c r="B100" s="18" t="s">
        <v>2737</v>
      </c>
      <c r="C100" s="12" t="s">
        <v>125</v>
      </c>
      <c r="D100" s="18"/>
      <c r="E100" s="18"/>
      <c r="F100" s="12" t="s">
        <v>63</v>
      </c>
      <c r="G100" s="12" t="s">
        <v>64</v>
      </c>
      <c r="H100" s="12" t="s">
        <v>198</v>
      </c>
      <c r="I100" s="12" t="s">
        <v>1704</v>
      </c>
      <c r="J100" s="12" t="s">
        <v>1705</v>
      </c>
      <c r="K100" s="12" t="s">
        <v>1678</v>
      </c>
      <c r="L100" s="12" t="s">
        <v>2561</v>
      </c>
      <c r="M100" s="18" t="s">
        <v>2630</v>
      </c>
      <c r="N100" s="18"/>
    </row>
    <row r="101" spans="1:14" x14ac:dyDescent="0.35">
      <c r="A101" s="18" t="s">
        <v>3186</v>
      </c>
      <c r="B101" s="18" t="s">
        <v>3187</v>
      </c>
      <c r="C101" s="12" t="s">
        <v>23</v>
      </c>
      <c r="D101" s="18"/>
      <c r="E101" s="18"/>
      <c r="F101" s="12" t="s">
        <v>3188</v>
      </c>
      <c r="G101" s="12" t="s">
        <v>3189</v>
      </c>
      <c r="H101" s="12" t="s">
        <v>259</v>
      </c>
      <c r="I101" s="12" t="s">
        <v>1723</v>
      </c>
      <c r="J101" s="12" t="s">
        <v>1724</v>
      </c>
      <c r="K101" s="12" t="s">
        <v>1678</v>
      </c>
      <c r="L101" s="12" t="s">
        <v>3104</v>
      </c>
      <c r="M101" s="18" t="s">
        <v>3190</v>
      </c>
      <c r="N101" s="18"/>
    </row>
    <row r="102" spans="1:14" x14ac:dyDescent="0.35">
      <c r="A102" s="18" t="s">
        <v>2738</v>
      </c>
      <c r="B102" s="18" t="s">
        <v>2739</v>
      </c>
      <c r="C102" s="12" t="s">
        <v>125</v>
      </c>
      <c r="D102" s="18"/>
      <c r="E102" s="18"/>
      <c r="F102" s="12" t="s">
        <v>57</v>
      </c>
      <c r="G102" s="12" t="s">
        <v>58</v>
      </c>
      <c r="H102" s="12" t="s">
        <v>239</v>
      </c>
      <c r="I102" s="12" t="s">
        <v>2740</v>
      </c>
      <c r="J102" s="12" t="s">
        <v>2741</v>
      </c>
      <c r="K102" s="12" t="s">
        <v>1678</v>
      </c>
      <c r="L102" s="12" t="s">
        <v>2561</v>
      </c>
      <c r="M102" s="18" t="s">
        <v>2653</v>
      </c>
      <c r="N102" s="18"/>
    </row>
    <row r="103" spans="1:14" x14ac:dyDescent="0.35">
      <c r="A103" s="18" t="s">
        <v>2742</v>
      </c>
      <c r="B103" s="18" t="s">
        <v>2743</v>
      </c>
      <c r="C103" s="12" t="s">
        <v>125</v>
      </c>
      <c r="D103" s="18"/>
      <c r="E103" s="18"/>
      <c r="F103" s="12" t="s">
        <v>83</v>
      </c>
      <c r="G103" s="12" t="s">
        <v>84</v>
      </c>
      <c r="H103" s="12" t="s">
        <v>239</v>
      </c>
      <c r="I103" s="12" t="s">
        <v>2744</v>
      </c>
      <c r="J103" s="12" t="s">
        <v>2745</v>
      </c>
      <c r="K103" s="12" t="s">
        <v>1678</v>
      </c>
      <c r="L103" s="12" t="s">
        <v>2561</v>
      </c>
      <c r="M103" s="18" t="s">
        <v>2584</v>
      </c>
      <c r="N103" s="18"/>
    </row>
    <row r="104" spans="1:14" ht="84.5" x14ac:dyDescent="0.35">
      <c r="A104" s="18" t="s">
        <v>3191</v>
      </c>
      <c r="B104" s="18" t="s">
        <v>3192</v>
      </c>
      <c r="C104" s="12" t="s">
        <v>23</v>
      </c>
      <c r="D104" s="18"/>
      <c r="E104" s="18"/>
      <c r="F104" s="12" t="s">
        <v>3091</v>
      </c>
      <c r="G104" s="12" t="s">
        <v>3092</v>
      </c>
      <c r="H104" s="12" t="s">
        <v>239</v>
      </c>
      <c r="I104" s="12" t="s">
        <v>3193</v>
      </c>
      <c r="J104" s="12" t="s">
        <v>3194</v>
      </c>
      <c r="K104" s="12" t="s">
        <v>1678</v>
      </c>
      <c r="L104" s="12" t="s">
        <v>3095</v>
      </c>
      <c r="M104" s="18" t="s">
        <v>3195</v>
      </c>
      <c r="N104" s="18" t="s">
        <v>3196</v>
      </c>
    </row>
    <row r="105" spans="1:14" ht="56.5" x14ac:dyDescent="0.35">
      <c r="A105" s="18" t="s">
        <v>2746</v>
      </c>
      <c r="B105" s="18" t="s">
        <v>2747</v>
      </c>
      <c r="C105" s="12" t="s">
        <v>122</v>
      </c>
      <c r="D105" s="18" t="s">
        <v>34</v>
      </c>
      <c r="E105" s="18" t="s">
        <v>2414</v>
      </c>
      <c r="F105" s="12" t="s">
        <v>65</v>
      </c>
      <c r="G105" s="12" t="s">
        <v>66</v>
      </c>
      <c r="H105" s="12" t="s">
        <v>198</v>
      </c>
      <c r="I105" s="12" t="s">
        <v>2748</v>
      </c>
      <c r="J105" s="12" t="s">
        <v>2749</v>
      </c>
      <c r="K105" s="12" t="s">
        <v>1678</v>
      </c>
      <c r="L105" s="12" t="s">
        <v>216</v>
      </c>
      <c r="M105" s="18" t="s">
        <v>4760</v>
      </c>
      <c r="N105" s="18" t="s">
        <v>4761</v>
      </c>
    </row>
    <row r="106" spans="1:14" x14ac:dyDescent="0.35">
      <c r="A106" s="18" t="s">
        <v>3070</v>
      </c>
      <c r="B106" s="18" t="s">
        <v>3071</v>
      </c>
      <c r="C106" s="12" t="s">
        <v>131</v>
      </c>
      <c r="D106" s="18"/>
      <c r="E106" s="18"/>
      <c r="F106" s="12" t="s">
        <v>83</v>
      </c>
      <c r="G106" s="12" t="s">
        <v>84</v>
      </c>
      <c r="H106" s="12" t="s">
        <v>198</v>
      </c>
      <c r="I106" s="12" t="s">
        <v>3072</v>
      </c>
      <c r="J106" s="12" t="s">
        <v>3073</v>
      </c>
      <c r="K106" s="12" t="s">
        <v>3074</v>
      </c>
      <c r="L106" s="12" t="s">
        <v>209</v>
      </c>
      <c r="M106" s="18" t="s">
        <v>3075</v>
      </c>
      <c r="N106" s="18" t="s">
        <v>3076</v>
      </c>
    </row>
    <row r="107" spans="1:14" ht="56.5" x14ac:dyDescent="0.35">
      <c r="A107" s="18" t="s">
        <v>2512</v>
      </c>
      <c r="B107" s="18" t="s">
        <v>2513</v>
      </c>
      <c r="C107" s="12" t="s">
        <v>122</v>
      </c>
      <c r="D107" s="18" t="s">
        <v>33</v>
      </c>
      <c r="E107" s="18" t="s">
        <v>2414</v>
      </c>
      <c r="F107" s="12" t="s">
        <v>55</v>
      </c>
      <c r="G107" s="12" t="s">
        <v>56</v>
      </c>
      <c r="H107" s="12" t="s">
        <v>198</v>
      </c>
      <c r="I107" s="12" t="s">
        <v>2514</v>
      </c>
      <c r="J107" s="12" t="s">
        <v>2515</v>
      </c>
      <c r="K107" s="12" t="s">
        <v>1747</v>
      </c>
      <c r="L107" s="12" t="s">
        <v>209</v>
      </c>
      <c r="M107" s="18" t="s">
        <v>2516</v>
      </c>
      <c r="N107" s="18" t="s">
        <v>2517</v>
      </c>
    </row>
    <row r="108" spans="1:14" x14ac:dyDescent="0.35">
      <c r="A108" s="18" t="s">
        <v>2754</v>
      </c>
      <c r="B108" s="18" t="s">
        <v>2755</v>
      </c>
      <c r="C108" s="12" t="s">
        <v>125</v>
      </c>
      <c r="D108" s="18"/>
      <c r="E108" s="18"/>
      <c r="F108" s="12" t="s">
        <v>65</v>
      </c>
      <c r="G108" s="12" t="s">
        <v>66</v>
      </c>
      <c r="H108" s="12" t="s">
        <v>198</v>
      </c>
      <c r="I108" s="12" t="s">
        <v>2756</v>
      </c>
      <c r="J108" s="12" t="s">
        <v>2757</v>
      </c>
      <c r="K108" s="12" t="s">
        <v>1760</v>
      </c>
      <c r="L108" s="12" t="s">
        <v>2561</v>
      </c>
      <c r="M108" s="18" t="s">
        <v>2562</v>
      </c>
      <c r="N108" s="18"/>
    </row>
    <row r="109" spans="1:14" x14ac:dyDescent="0.35">
      <c r="A109" s="18" t="s">
        <v>2758</v>
      </c>
      <c r="B109" s="18" t="s">
        <v>1814</v>
      </c>
      <c r="C109" s="12" t="s">
        <v>125</v>
      </c>
      <c r="D109" s="18"/>
      <c r="E109" s="18"/>
      <c r="F109" s="12" t="s">
        <v>65</v>
      </c>
      <c r="G109" s="12" t="s">
        <v>66</v>
      </c>
      <c r="H109" s="12" t="s">
        <v>198</v>
      </c>
      <c r="I109" s="12" t="s">
        <v>2759</v>
      </c>
      <c r="J109" s="12" t="s">
        <v>2760</v>
      </c>
      <c r="K109" s="12" t="s">
        <v>1760</v>
      </c>
      <c r="L109" s="12" t="s">
        <v>2561</v>
      </c>
      <c r="M109" s="18" t="s">
        <v>2562</v>
      </c>
      <c r="N109" s="18"/>
    </row>
    <row r="110" spans="1:14" ht="42.5" x14ac:dyDescent="0.35">
      <c r="A110" s="18" t="s">
        <v>2761</v>
      </c>
      <c r="B110" s="18" t="s">
        <v>2762</v>
      </c>
      <c r="C110" s="12" t="s">
        <v>128</v>
      </c>
      <c r="D110" s="18"/>
      <c r="E110" s="18"/>
      <c r="F110" s="12" t="s">
        <v>55</v>
      </c>
      <c r="G110" s="12" t="s">
        <v>56</v>
      </c>
      <c r="H110" s="12" t="s">
        <v>259</v>
      </c>
      <c r="I110" s="12" t="s">
        <v>2763</v>
      </c>
      <c r="J110" s="12" t="s">
        <v>2764</v>
      </c>
      <c r="K110" s="12" t="s">
        <v>1760</v>
      </c>
      <c r="L110" s="12" t="s">
        <v>4722</v>
      </c>
      <c r="M110" s="18" t="s">
        <v>4762</v>
      </c>
      <c r="N110" s="18" t="s">
        <v>4763</v>
      </c>
    </row>
    <row r="111" spans="1:14" ht="42.5" x14ac:dyDescent="0.35">
      <c r="A111" s="18" t="s">
        <v>2765</v>
      </c>
      <c r="B111" s="18" t="s">
        <v>2766</v>
      </c>
      <c r="C111" s="12" t="s">
        <v>125</v>
      </c>
      <c r="D111" s="18"/>
      <c r="E111" s="18"/>
      <c r="F111" s="12" t="s">
        <v>55</v>
      </c>
      <c r="G111" s="12" t="s">
        <v>56</v>
      </c>
      <c r="H111" s="12" t="s">
        <v>239</v>
      </c>
      <c r="I111" s="12" t="s">
        <v>1798</v>
      </c>
      <c r="J111" s="12" t="s">
        <v>2767</v>
      </c>
      <c r="K111" s="12" t="s">
        <v>1800</v>
      </c>
      <c r="L111" s="12" t="s">
        <v>2561</v>
      </c>
      <c r="M111" s="18" t="s">
        <v>2567</v>
      </c>
      <c r="N111" s="18"/>
    </row>
    <row r="112" spans="1:14" x14ac:dyDescent="0.35">
      <c r="A112" s="18" t="s">
        <v>3231</v>
      </c>
      <c r="B112" s="18" t="s">
        <v>3232</v>
      </c>
      <c r="C112" s="12" t="s">
        <v>134</v>
      </c>
      <c r="D112" s="18"/>
      <c r="E112" s="18"/>
      <c r="F112" s="12" t="s">
        <v>77</v>
      </c>
      <c r="G112" s="12" t="s">
        <v>78</v>
      </c>
      <c r="H112" s="12" t="s">
        <v>198</v>
      </c>
      <c r="I112" s="12" t="s">
        <v>1798</v>
      </c>
      <c r="J112" s="12" t="s">
        <v>3233</v>
      </c>
      <c r="K112" s="12" t="s">
        <v>1800</v>
      </c>
      <c r="L112" s="12" t="s">
        <v>216</v>
      </c>
      <c r="M112" s="18" t="s">
        <v>4764</v>
      </c>
      <c r="N112" s="18" t="s">
        <v>4765</v>
      </c>
    </row>
    <row r="113" spans="1:14" ht="56.5" x14ac:dyDescent="0.35">
      <c r="A113" s="18" t="s">
        <v>2518</v>
      </c>
      <c r="B113" s="18" t="s">
        <v>2519</v>
      </c>
      <c r="C113" s="12" t="s">
        <v>122</v>
      </c>
      <c r="D113" s="18" t="s">
        <v>33</v>
      </c>
      <c r="E113" s="18" t="s">
        <v>2414</v>
      </c>
      <c r="F113" s="12" t="s">
        <v>55</v>
      </c>
      <c r="G113" s="12" t="s">
        <v>56</v>
      </c>
      <c r="H113" s="12" t="s">
        <v>198</v>
      </c>
      <c r="I113" s="12" t="s">
        <v>1798</v>
      </c>
      <c r="J113" s="12" t="s">
        <v>1815</v>
      </c>
      <c r="K113" s="12" t="s">
        <v>1800</v>
      </c>
      <c r="L113" s="12" t="s">
        <v>694</v>
      </c>
      <c r="M113" s="18" t="s">
        <v>2520</v>
      </c>
      <c r="N113" s="18" t="s">
        <v>2521</v>
      </c>
    </row>
    <row r="114" spans="1:14" ht="70.5" x14ac:dyDescent="0.35">
      <c r="A114" s="18" t="s">
        <v>3197</v>
      </c>
      <c r="B114" s="18" t="s">
        <v>3198</v>
      </c>
      <c r="C114" s="12" t="s">
        <v>23</v>
      </c>
      <c r="D114" s="18"/>
      <c r="E114" s="18"/>
      <c r="F114" s="12" t="s">
        <v>3199</v>
      </c>
      <c r="G114" s="12" t="s">
        <v>3200</v>
      </c>
      <c r="H114" s="12" t="s">
        <v>239</v>
      </c>
      <c r="I114" s="12" t="s">
        <v>1798</v>
      </c>
      <c r="J114" s="12" t="s">
        <v>1805</v>
      </c>
      <c r="K114" s="12" t="s">
        <v>1800</v>
      </c>
      <c r="L114" s="12" t="s">
        <v>3095</v>
      </c>
      <c r="M114" s="18" t="s">
        <v>3201</v>
      </c>
      <c r="N114" s="18" t="s">
        <v>3202</v>
      </c>
    </row>
    <row r="115" spans="1:14" ht="28.5" x14ac:dyDescent="0.35">
      <c r="A115" s="18" t="s">
        <v>2768</v>
      </c>
      <c r="B115" s="18" t="s">
        <v>2769</v>
      </c>
      <c r="C115" s="12" t="s">
        <v>125</v>
      </c>
      <c r="D115" s="18"/>
      <c r="E115" s="18"/>
      <c r="F115" s="12" t="s">
        <v>73</v>
      </c>
      <c r="G115" s="12" t="s">
        <v>74</v>
      </c>
      <c r="H115" s="12" t="s">
        <v>198</v>
      </c>
      <c r="I115" s="12" t="s">
        <v>1798</v>
      </c>
      <c r="J115" s="12" t="s">
        <v>2767</v>
      </c>
      <c r="K115" s="12" t="s">
        <v>1800</v>
      </c>
      <c r="L115" s="12" t="s">
        <v>2561</v>
      </c>
      <c r="M115" s="18" t="s">
        <v>2770</v>
      </c>
      <c r="N115" s="18"/>
    </row>
    <row r="116" spans="1:14" x14ac:dyDescent="0.35">
      <c r="A116" s="18" t="s">
        <v>3203</v>
      </c>
      <c r="B116" s="18" t="s">
        <v>3204</v>
      </c>
      <c r="C116" s="12" t="s">
        <v>23</v>
      </c>
      <c r="D116" s="18"/>
      <c r="E116" s="18"/>
      <c r="F116" s="12" t="s">
        <v>3205</v>
      </c>
      <c r="G116" s="12" t="s">
        <v>3206</v>
      </c>
      <c r="H116" s="12" t="s">
        <v>259</v>
      </c>
      <c r="I116" s="12" t="s">
        <v>1798</v>
      </c>
      <c r="J116" s="12" t="s">
        <v>3207</v>
      </c>
      <c r="K116" s="12" t="s">
        <v>1800</v>
      </c>
      <c r="L116" s="12" t="s">
        <v>3104</v>
      </c>
      <c r="M116" s="18" t="s">
        <v>3208</v>
      </c>
      <c r="N116" s="18"/>
    </row>
    <row r="117" spans="1:14" x14ac:dyDescent="0.35">
      <c r="A117" s="18" t="s">
        <v>2771</v>
      </c>
      <c r="B117" s="18" t="s">
        <v>2772</v>
      </c>
      <c r="C117" s="12" t="s">
        <v>125</v>
      </c>
      <c r="D117" s="18"/>
      <c r="E117" s="18"/>
      <c r="F117" s="12" t="s">
        <v>55</v>
      </c>
      <c r="G117" s="12" t="s">
        <v>56</v>
      </c>
      <c r="H117" s="12" t="s">
        <v>259</v>
      </c>
      <c r="I117" s="12" t="s">
        <v>1798</v>
      </c>
      <c r="J117" s="12" t="s">
        <v>1810</v>
      </c>
      <c r="K117" s="12" t="s">
        <v>1800</v>
      </c>
      <c r="L117" s="12" t="s">
        <v>2561</v>
      </c>
      <c r="M117" s="18" t="s">
        <v>2567</v>
      </c>
      <c r="N117" s="18"/>
    </row>
    <row r="118" spans="1:14" ht="56.5" x14ac:dyDescent="0.35">
      <c r="A118" s="18" t="s">
        <v>2522</v>
      </c>
      <c r="B118" s="18" t="s">
        <v>2523</v>
      </c>
      <c r="C118" s="12" t="s">
        <v>122</v>
      </c>
      <c r="D118" s="18" t="s">
        <v>33</v>
      </c>
      <c r="E118" s="18" t="s">
        <v>2414</v>
      </c>
      <c r="F118" s="12" t="s">
        <v>53</v>
      </c>
      <c r="G118" s="12" t="s">
        <v>54</v>
      </c>
      <c r="H118" s="12" t="s">
        <v>198</v>
      </c>
      <c r="I118" s="12" t="s">
        <v>2524</v>
      </c>
      <c r="J118" s="12" t="s">
        <v>2525</v>
      </c>
      <c r="K118" s="12" t="s">
        <v>1840</v>
      </c>
      <c r="L118" s="12" t="s">
        <v>209</v>
      </c>
      <c r="M118" s="18" t="s">
        <v>2526</v>
      </c>
      <c r="N118" s="18" t="s">
        <v>2527</v>
      </c>
    </row>
    <row r="119" spans="1:14" ht="56.5" x14ac:dyDescent="0.35">
      <c r="A119" s="18" t="s">
        <v>2528</v>
      </c>
      <c r="B119" s="18" t="s">
        <v>2529</v>
      </c>
      <c r="C119" s="12" t="s">
        <v>122</v>
      </c>
      <c r="D119" s="18" t="s">
        <v>33</v>
      </c>
      <c r="E119" s="18" t="s">
        <v>2414</v>
      </c>
      <c r="F119" s="12" t="s">
        <v>65</v>
      </c>
      <c r="G119" s="12" t="s">
        <v>66</v>
      </c>
      <c r="H119" s="12" t="s">
        <v>198</v>
      </c>
      <c r="I119" s="12" t="s">
        <v>1838</v>
      </c>
      <c r="J119" s="12" t="s">
        <v>1839</v>
      </c>
      <c r="K119" s="12" t="s">
        <v>1840</v>
      </c>
      <c r="L119" s="12" t="s">
        <v>209</v>
      </c>
      <c r="M119" s="18" t="s">
        <v>2530</v>
      </c>
      <c r="N119" s="18" t="s">
        <v>2531</v>
      </c>
    </row>
    <row r="120" spans="1:14" x14ac:dyDescent="0.35">
      <c r="A120" s="18" t="s">
        <v>2773</v>
      </c>
      <c r="B120" s="18" t="s">
        <v>2774</v>
      </c>
      <c r="C120" s="12" t="s">
        <v>125</v>
      </c>
      <c r="D120" s="18"/>
      <c r="E120" s="18"/>
      <c r="F120" s="12" t="s">
        <v>79</v>
      </c>
      <c r="G120" s="12" t="s">
        <v>80</v>
      </c>
      <c r="H120" s="12" t="s">
        <v>259</v>
      </c>
      <c r="I120" s="12" t="s">
        <v>1892</v>
      </c>
      <c r="J120" s="12" t="s">
        <v>1893</v>
      </c>
      <c r="K120" s="12" t="s">
        <v>1888</v>
      </c>
      <c r="L120" s="12" t="s">
        <v>209</v>
      </c>
      <c r="M120" s="18" t="s">
        <v>2775</v>
      </c>
      <c r="N120" s="18" t="s">
        <v>2776</v>
      </c>
    </row>
    <row r="121" spans="1:14" ht="28.5" x14ac:dyDescent="0.35">
      <c r="A121" s="18" t="s">
        <v>2777</v>
      </c>
      <c r="B121" s="18" t="s">
        <v>2778</v>
      </c>
      <c r="C121" s="12" t="s">
        <v>125</v>
      </c>
      <c r="D121" s="18"/>
      <c r="E121" s="18"/>
      <c r="F121" s="12" t="s">
        <v>55</v>
      </c>
      <c r="G121" s="12" t="s">
        <v>56</v>
      </c>
      <c r="H121" s="12" t="s">
        <v>198</v>
      </c>
      <c r="I121" s="12" t="s">
        <v>2779</v>
      </c>
      <c r="J121" s="12" t="s">
        <v>2780</v>
      </c>
      <c r="K121" s="12" t="s">
        <v>1888</v>
      </c>
      <c r="L121" s="12" t="s">
        <v>2561</v>
      </c>
      <c r="M121" s="18" t="s">
        <v>2567</v>
      </c>
      <c r="N121" s="18"/>
    </row>
    <row r="122" spans="1:14" x14ac:dyDescent="0.35">
      <c r="A122" s="18" t="s">
        <v>2949</v>
      </c>
      <c r="B122" s="18" t="s">
        <v>2950</v>
      </c>
      <c r="C122" s="12" t="s">
        <v>128</v>
      </c>
      <c r="D122" s="18"/>
      <c r="E122" s="18"/>
      <c r="F122" s="12" t="s">
        <v>81</v>
      </c>
      <c r="G122" s="12" t="s">
        <v>82</v>
      </c>
      <c r="H122" s="12" t="s">
        <v>259</v>
      </c>
      <c r="I122" s="12" t="s">
        <v>2951</v>
      </c>
      <c r="J122" s="12" t="s">
        <v>2952</v>
      </c>
      <c r="K122" s="12" t="s">
        <v>1935</v>
      </c>
      <c r="L122" s="12" t="s">
        <v>209</v>
      </c>
      <c r="M122" s="18" t="s">
        <v>2953</v>
      </c>
      <c r="N122" s="18" t="s">
        <v>2954</v>
      </c>
    </row>
    <row r="123" spans="1:14" x14ac:dyDescent="0.35">
      <c r="A123" s="18" t="s">
        <v>2781</v>
      </c>
      <c r="B123" s="18" t="s">
        <v>2782</v>
      </c>
      <c r="C123" s="12" t="s">
        <v>125</v>
      </c>
      <c r="D123" s="18"/>
      <c r="E123" s="18"/>
      <c r="F123" s="12" t="s">
        <v>65</v>
      </c>
      <c r="G123" s="12" t="s">
        <v>66</v>
      </c>
      <c r="H123" s="12" t="s">
        <v>198</v>
      </c>
      <c r="I123" s="12" t="s">
        <v>1938</v>
      </c>
      <c r="J123" s="12" t="s">
        <v>1939</v>
      </c>
      <c r="K123" s="12" t="s">
        <v>1935</v>
      </c>
      <c r="L123" s="12" t="s">
        <v>2561</v>
      </c>
      <c r="M123" s="18" t="s">
        <v>2562</v>
      </c>
      <c r="N123" s="18"/>
    </row>
    <row r="124" spans="1:14" x14ac:dyDescent="0.35">
      <c r="A124" s="18" t="s">
        <v>2955</v>
      </c>
      <c r="B124" s="18" t="s">
        <v>2956</v>
      </c>
      <c r="C124" s="12" t="s">
        <v>128</v>
      </c>
      <c r="D124" s="18"/>
      <c r="E124" s="18"/>
      <c r="F124" s="12" t="s">
        <v>73</v>
      </c>
      <c r="G124" s="12" t="s">
        <v>74</v>
      </c>
      <c r="H124" s="12" t="s">
        <v>198</v>
      </c>
      <c r="I124" s="12" t="s">
        <v>2957</v>
      </c>
      <c r="J124" s="12" t="s">
        <v>2958</v>
      </c>
      <c r="K124" s="12" t="s">
        <v>1935</v>
      </c>
      <c r="L124" s="12" t="s">
        <v>209</v>
      </c>
      <c r="M124" s="18" t="s">
        <v>2959</v>
      </c>
      <c r="N124" s="18" t="s">
        <v>2960</v>
      </c>
    </row>
    <row r="125" spans="1:14" ht="84.5" x14ac:dyDescent="0.35">
      <c r="A125" s="18" t="s">
        <v>3209</v>
      </c>
      <c r="B125" s="18" t="s">
        <v>3210</v>
      </c>
      <c r="C125" s="12" t="s">
        <v>23</v>
      </c>
      <c r="D125" s="18"/>
      <c r="E125" s="18"/>
      <c r="F125" s="12" t="s">
        <v>3211</v>
      </c>
      <c r="G125" s="12" t="s">
        <v>3212</v>
      </c>
      <c r="H125" s="12" t="s">
        <v>198</v>
      </c>
      <c r="I125" s="12" t="s">
        <v>2030</v>
      </c>
      <c r="J125" s="12" t="s">
        <v>2031</v>
      </c>
      <c r="K125" s="12" t="s">
        <v>2021</v>
      </c>
      <c r="L125" s="12" t="s">
        <v>3095</v>
      </c>
      <c r="M125" s="18" t="s">
        <v>3213</v>
      </c>
      <c r="N125" s="18" t="s">
        <v>3214</v>
      </c>
    </row>
    <row r="126" spans="1:14" ht="42.5" x14ac:dyDescent="0.35">
      <c r="A126" s="18" t="s">
        <v>2532</v>
      </c>
      <c r="B126" s="18" t="s">
        <v>2533</v>
      </c>
      <c r="C126" s="12" t="s">
        <v>122</v>
      </c>
      <c r="D126" s="18" t="s">
        <v>33</v>
      </c>
      <c r="E126" s="18" t="s">
        <v>2409</v>
      </c>
      <c r="F126" s="12" t="s">
        <v>59</v>
      </c>
      <c r="G126" s="12" t="s">
        <v>60</v>
      </c>
      <c r="H126" s="12" t="s">
        <v>259</v>
      </c>
      <c r="I126" s="12" t="s">
        <v>2534</v>
      </c>
      <c r="J126" s="12" t="s">
        <v>2535</v>
      </c>
      <c r="K126" s="12" t="s">
        <v>2072</v>
      </c>
      <c r="L126" s="12" t="s">
        <v>202</v>
      </c>
      <c r="M126" s="18" t="s">
        <v>2536</v>
      </c>
      <c r="N126" s="18" t="s">
        <v>204</v>
      </c>
    </row>
    <row r="127" spans="1:14" x14ac:dyDescent="0.35">
      <c r="A127" s="18" t="s">
        <v>2961</v>
      </c>
      <c r="B127" s="18" t="s">
        <v>2962</v>
      </c>
      <c r="C127" s="12" t="s">
        <v>128</v>
      </c>
      <c r="D127" s="18"/>
      <c r="E127" s="18"/>
      <c r="F127" s="12" t="s">
        <v>71</v>
      </c>
      <c r="G127" s="12" t="s">
        <v>72</v>
      </c>
      <c r="H127" s="12" t="s">
        <v>198</v>
      </c>
      <c r="I127" s="12" t="s">
        <v>2081</v>
      </c>
      <c r="J127" s="12" t="s">
        <v>2082</v>
      </c>
      <c r="K127" s="12" t="s">
        <v>2072</v>
      </c>
      <c r="L127" s="12" t="s">
        <v>209</v>
      </c>
      <c r="M127" s="18" t="s">
        <v>2953</v>
      </c>
      <c r="N127" s="18" t="s">
        <v>2963</v>
      </c>
    </row>
    <row r="128" spans="1:14" x14ac:dyDescent="0.35">
      <c r="A128" s="18" t="s">
        <v>2964</v>
      </c>
      <c r="B128" s="18" t="s">
        <v>2965</v>
      </c>
      <c r="C128" s="12" t="s">
        <v>128</v>
      </c>
      <c r="D128" s="18"/>
      <c r="E128" s="18"/>
      <c r="F128" s="12" t="s">
        <v>67</v>
      </c>
      <c r="G128" s="12" t="s">
        <v>68</v>
      </c>
      <c r="H128" s="12" t="s">
        <v>198</v>
      </c>
      <c r="I128" s="12" t="s">
        <v>2966</v>
      </c>
      <c r="J128" s="12" t="s">
        <v>2967</v>
      </c>
      <c r="K128" s="12" t="s">
        <v>2072</v>
      </c>
      <c r="L128" s="12" t="s">
        <v>209</v>
      </c>
      <c r="M128" s="18" t="s">
        <v>2968</v>
      </c>
      <c r="N128" s="18" t="s">
        <v>2969</v>
      </c>
    </row>
    <row r="129" spans="1:14" x14ac:dyDescent="0.35">
      <c r="A129" s="18" t="s">
        <v>2792</v>
      </c>
      <c r="B129" s="18" t="s">
        <v>2793</v>
      </c>
      <c r="C129" s="12" t="s">
        <v>125</v>
      </c>
      <c r="D129" s="18"/>
      <c r="E129" s="18"/>
      <c r="F129" s="12" t="s">
        <v>61</v>
      </c>
      <c r="G129" s="12" t="s">
        <v>62</v>
      </c>
      <c r="H129" s="12" t="s">
        <v>259</v>
      </c>
      <c r="I129" s="12" t="s">
        <v>2794</v>
      </c>
      <c r="J129" s="12" t="s">
        <v>2795</v>
      </c>
      <c r="K129" s="12" t="s">
        <v>2072</v>
      </c>
      <c r="L129" s="12" t="s">
        <v>2561</v>
      </c>
      <c r="M129" s="18" t="s">
        <v>2796</v>
      </c>
      <c r="N129" s="18"/>
    </row>
    <row r="130" spans="1:14" ht="56.5" x14ac:dyDescent="0.35">
      <c r="A130" s="18" t="s">
        <v>2537</v>
      </c>
      <c r="B130" s="18" t="s">
        <v>2538</v>
      </c>
      <c r="C130" s="12" t="s">
        <v>122</v>
      </c>
      <c r="D130" s="18" t="s">
        <v>33</v>
      </c>
      <c r="E130" s="18" t="s">
        <v>2414</v>
      </c>
      <c r="F130" s="12" t="s">
        <v>59</v>
      </c>
      <c r="G130" s="12" t="s">
        <v>60</v>
      </c>
      <c r="H130" s="12" t="s">
        <v>259</v>
      </c>
      <c r="I130" s="12" t="s">
        <v>2539</v>
      </c>
      <c r="J130" s="12" t="s">
        <v>2540</v>
      </c>
      <c r="K130" s="12" t="s">
        <v>2105</v>
      </c>
      <c r="L130" s="12" t="s">
        <v>209</v>
      </c>
      <c r="M130" s="18" t="s">
        <v>2541</v>
      </c>
      <c r="N130" s="18" t="s">
        <v>2542</v>
      </c>
    </row>
    <row r="131" spans="1:14" x14ac:dyDescent="0.35">
      <c r="A131" s="18" t="s">
        <v>2797</v>
      </c>
      <c r="B131" s="18" t="s">
        <v>2798</v>
      </c>
      <c r="C131" s="12" t="s">
        <v>125</v>
      </c>
      <c r="D131" s="18"/>
      <c r="E131" s="18"/>
      <c r="F131" s="12" t="s">
        <v>63</v>
      </c>
      <c r="G131" s="12" t="s">
        <v>64</v>
      </c>
      <c r="H131" s="12" t="s">
        <v>239</v>
      </c>
      <c r="I131" s="12" t="s">
        <v>2129</v>
      </c>
      <c r="J131" s="12" t="s">
        <v>2130</v>
      </c>
      <c r="K131" s="12" t="s">
        <v>2131</v>
      </c>
      <c r="L131" s="12" t="s">
        <v>2561</v>
      </c>
      <c r="M131" s="18" t="s">
        <v>2630</v>
      </c>
      <c r="N131" s="18"/>
    </row>
    <row r="132" spans="1:14" x14ac:dyDescent="0.35">
      <c r="A132" s="18" t="s">
        <v>3234</v>
      </c>
      <c r="B132" s="18" t="s">
        <v>3235</v>
      </c>
      <c r="C132" s="12" t="s">
        <v>134</v>
      </c>
      <c r="D132" s="18"/>
      <c r="E132" s="18"/>
      <c r="F132" s="12" t="s">
        <v>3236</v>
      </c>
      <c r="G132" s="12" t="s">
        <v>3237</v>
      </c>
      <c r="H132" s="12" t="s">
        <v>386</v>
      </c>
      <c r="I132" s="12" t="s">
        <v>3238</v>
      </c>
      <c r="J132" s="12" t="s">
        <v>3239</v>
      </c>
      <c r="K132" s="12" t="s">
        <v>2131</v>
      </c>
      <c r="L132" s="12" t="s">
        <v>216</v>
      </c>
      <c r="M132" s="18" t="s">
        <v>4766</v>
      </c>
      <c r="N132" s="18" t="s">
        <v>4767</v>
      </c>
    </row>
    <row r="133" spans="1:14" x14ac:dyDescent="0.35">
      <c r="A133" s="18" t="s">
        <v>2970</v>
      </c>
      <c r="B133" s="18" t="s">
        <v>2971</v>
      </c>
      <c r="C133" s="12" t="s">
        <v>128</v>
      </c>
      <c r="D133" s="18"/>
      <c r="E133" s="18"/>
      <c r="F133" s="12" t="s">
        <v>79</v>
      </c>
      <c r="G133" s="12" t="s">
        <v>80</v>
      </c>
      <c r="H133" s="12" t="s">
        <v>259</v>
      </c>
      <c r="I133" s="12" t="s">
        <v>2972</v>
      </c>
      <c r="J133" s="12" t="s">
        <v>2973</v>
      </c>
      <c r="K133" s="12" t="s">
        <v>2131</v>
      </c>
      <c r="L133" s="12" t="s">
        <v>216</v>
      </c>
      <c r="M133" s="18" t="s">
        <v>2974</v>
      </c>
      <c r="N133" s="18" t="s">
        <v>2975</v>
      </c>
    </row>
    <row r="134" spans="1:14" x14ac:dyDescent="0.35">
      <c r="A134" s="18" t="s">
        <v>2799</v>
      </c>
      <c r="B134" s="18" t="s">
        <v>2800</v>
      </c>
      <c r="C134" s="12" t="s">
        <v>125</v>
      </c>
      <c r="D134" s="18"/>
      <c r="E134" s="18"/>
      <c r="F134" s="12" t="s">
        <v>73</v>
      </c>
      <c r="G134" s="12" t="s">
        <v>74</v>
      </c>
      <c r="H134" s="12" t="s">
        <v>259</v>
      </c>
      <c r="I134" s="12" t="s">
        <v>2141</v>
      </c>
      <c r="J134" s="12" t="s">
        <v>2142</v>
      </c>
      <c r="K134" s="12" t="s">
        <v>2131</v>
      </c>
      <c r="L134" s="12" t="s">
        <v>209</v>
      </c>
      <c r="M134" s="18" t="s">
        <v>2801</v>
      </c>
      <c r="N134" s="18" t="s">
        <v>2802</v>
      </c>
    </row>
    <row r="135" spans="1:14" ht="28.5" x14ac:dyDescent="0.35">
      <c r="A135" s="18" t="s">
        <v>2803</v>
      </c>
      <c r="B135" s="18" t="s">
        <v>2804</v>
      </c>
      <c r="C135" s="12" t="s">
        <v>125</v>
      </c>
      <c r="D135" s="18"/>
      <c r="E135" s="18"/>
      <c r="F135" s="12" t="s">
        <v>55</v>
      </c>
      <c r="G135" s="12" t="s">
        <v>56</v>
      </c>
      <c r="H135" s="12" t="s">
        <v>198</v>
      </c>
      <c r="I135" s="12" t="s">
        <v>2805</v>
      </c>
      <c r="J135" s="12" t="s">
        <v>2806</v>
      </c>
      <c r="K135" s="12" t="s">
        <v>2131</v>
      </c>
      <c r="L135" s="12" t="s">
        <v>209</v>
      </c>
      <c r="M135" s="18" t="s">
        <v>2663</v>
      </c>
      <c r="N135" s="18" t="s">
        <v>2807</v>
      </c>
    </row>
    <row r="136" spans="1:14" x14ac:dyDescent="0.35">
      <c r="A136" s="18" t="s">
        <v>2808</v>
      </c>
      <c r="B136" s="18" t="s">
        <v>2809</v>
      </c>
      <c r="C136" s="12" t="s">
        <v>125</v>
      </c>
      <c r="D136" s="18"/>
      <c r="E136" s="18"/>
      <c r="F136" s="12" t="s">
        <v>73</v>
      </c>
      <c r="G136" s="12" t="s">
        <v>74</v>
      </c>
      <c r="H136" s="12" t="s">
        <v>198</v>
      </c>
      <c r="I136" s="12" t="s">
        <v>2810</v>
      </c>
      <c r="J136" s="12" t="s">
        <v>2811</v>
      </c>
      <c r="K136" s="12" t="s">
        <v>2131</v>
      </c>
      <c r="L136" s="12" t="s">
        <v>2561</v>
      </c>
      <c r="M136" s="18" t="s">
        <v>2770</v>
      </c>
      <c r="N136" s="18"/>
    </row>
    <row r="137" spans="1:14" x14ac:dyDescent="0.35">
      <c r="A137" s="18" t="s">
        <v>2812</v>
      </c>
      <c r="B137" s="18" t="s">
        <v>2813</v>
      </c>
      <c r="C137" s="12" t="s">
        <v>125</v>
      </c>
      <c r="D137" s="18"/>
      <c r="E137" s="18"/>
      <c r="F137" s="12" t="s">
        <v>69</v>
      </c>
      <c r="G137" s="12" t="s">
        <v>70</v>
      </c>
      <c r="H137" s="12" t="s">
        <v>198</v>
      </c>
      <c r="I137" s="12" t="s">
        <v>2173</v>
      </c>
      <c r="J137" s="12" t="s">
        <v>2174</v>
      </c>
      <c r="K137" s="12" t="s">
        <v>2131</v>
      </c>
      <c r="L137" s="12" t="s">
        <v>209</v>
      </c>
      <c r="M137" s="18" t="s">
        <v>2814</v>
      </c>
      <c r="N137" s="18" t="s">
        <v>2815</v>
      </c>
    </row>
    <row r="138" spans="1:14" x14ac:dyDescent="0.35">
      <c r="A138" s="18" t="s">
        <v>2976</v>
      </c>
      <c r="B138" s="18" t="s">
        <v>2977</v>
      </c>
      <c r="C138" s="12" t="s">
        <v>128</v>
      </c>
      <c r="D138" s="18"/>
      <c r="E138" s="18"/>
      <c r="F138" s="12" t="s">
        <v>69</v>
      </c>
      <c r="G138" s="12" t="s">
        <v>70</v>
      </c>
      <c r="H138" s="12" t="s">
        <v>198</v>
      </c>
      <c r="I138" s="12" t="s">
        <v>2218</v>
      </c>
      <c r="J138" s="12" t="s">
        <v>2219</v>
      </c>
      <c r="K138" s="12" t="s">
        <v>2198</v>
      </c>
      <c r="L138" s="12" t="s">
        <v>209</v>
      </c>
      <c r="M138" s="18" t="s">
        <v>2978</v>
      </c>
      <c r="N138" s="18" t="s">
        <v>2979</v>
      </c>
    </row>
    <row r="139" spans="1:14" x14ac:dyDescent="0.35">
      <c r="A139" s="18" t="s">
        <v>2816</v>
      </c>
      <c r="B139" s="18" t="s">
        <v>2817</v>
      </c>
      <c r="C139" s="12" t="s">
        <v>125</v>
      </c>
      <c r="D139" s="18"/>
      <c r="E139" s="18"/>
      <c r="F139" s="12" t="s">
        <v>73</v>
      </c>
      <c r="G139" s="12" t="s">
        <v>74</v>
      </c>
      <c r="H139" s="12" t="s">
        <v>259</v>
      </c>
      <c r="I139" s="12" t="s">
        <v>2818</v>
      </c>
      <c r="J139" s="12" t="s">
        <v>2819</v>
      </c>
      <c r="K139" s="12" t="s">
        <v>2198</v>
      </c>
      <c r="L139" s="12" t="s">
        <v>209</v>
      </c>
      <c r="M139" s="18" t="s">
        <v>2820</v>
      </c>
      <c r="N139" s="18" t="s">
        <v>2821</v>
      </c>
    </row>
    <row r="140" spans="1:14" x14ac:dyDescent="0.35">
      <c r="A140" s="18" t="s">
        <v>2822</v>
      </c>
      <c r="B140" s="18" t="s">
        <v>2823</v>
      </c>
      <c r="C140" s="12" t="s">
        <v>125</v>
      </c>
      <c r="D140" s="18"/>
      <c r="E140" s="18"/>
      <c r="F140" s="12" t="s">
        <v>73</v>
      </c>
      <c r="G140" s="12" t="s">
        <v>74</v>
      </c>
      <c r="H140" s="12" t="s">
        <v>198</v>
      </c>
      <c r="I140" s="12" t="s">
        <v>2202</v>
      </c>
      <c r="J140" s="12" t="s">
        <v>2203</v>
      </c>
      <c r="K140" s="12" t="s">
        <v>2198</v>
      </c>
      <c r="L140" s="12" t="s">
        <v>209</v>
      </c>
      <c r="M140" s="18" t="s">
        <v>2824</v>
      </c>
      <c r="N140" s="18" t="s">
        <v>2825</v>
      </c>
    </row>
    <row r="141" spans="1:14" ht="28.5" x14ac:dyDescent="0.35">
      <c r="A141" s="18" t="s">
        <v>2980</v>
      </c>
      <c r="B141" s="18" t="s">
        <v>2981</v>
      </c>
      <c r="C141" s="12" t="s">
        <v>128</v>
      </c>
      <c r="D141" s="18"/>
      <c r="E141" s="18"/>
      <c r="F141" s="12" t="s">
        <v>81</v>
      </c>
      <c r="G141" s="12" t="s">
        <v>82</v>
      </c>
      <c r="H141" s="12" t="s">
        <v>198</v>
      </c>
      <c r="I141" s="12" t="s">
        <v>2296</v>
      </c>
      <c r="J141" s="12" t="s">
        <v>2297</v>
      </c>
      <c r="K141" s="12" t="s">
        <v>2224</v>
      </c>
      <c r="L141" s="12" t="s">
        <v>209</v>
      </c>
      <c r="M141" s="18" t="s">
        <v>2982</v>
      </c>
      <c r="N141" s="18" t="s">
        <v>2983</v>
      </c>
    </row>
    <row r="142" spans="1:14" x14ac:dyDescent="0.35">
      <c r="A142" s="18" t="s">
        <v>2984</v>
      </c>
      <c r="B142" s="18" t="s">
        <v>2985</v>
      </c>
      <c r="C142" s="12" t="s">
        <v>128</v>
      </c>
      <c r="D142" s="18"/>
      <c r="E142" s="18"/>
      <c r="F142" s="12" t="s">
        <v>71</v>
      </c>
      <c r="G142" s="12" t="s">
        <v>72</v>
      </c>
      <c r="H142" s="12" t="s">
        <v>259</v>
      </c>
      <c r="I142" s="12" t="s">
        <v>2986</v>
      </c>
      <c r="J142" s="12" t="s">
        <v>2987</v>
      </c>
      <c r="K142" s="12" t="s">
        <v>2224</v>
      </c>
      <c r="L142" s="12" t="s">
        <v>209</v>
      </c>
      <c r="M142" s="18" t="s">
        <v>2988</v>
      </c>
      <c r="N142" s="18" t="s">
        <v>2989</v>
      </c>
    </row>
    <row r="143" spans="1:14" x14ac:dyDescent="0.35">
      <c r="A143" s="18" t="s">
        <v>2990</v>
      </c>
      <c r="B143" s="18" t="s">
        <v>2991</v>
      </c>
      <c r="C143" s="12" t="s">
        <v>128</v>
      </c>
      <c r="D143" s="18"/>
      <c r="E143" s="18"/>
      <c r="F143" s="12" t="s">
        <v>63</v>
      </c>
      <c r="G143" s="12" t="s">
        <v>64</v>
      </c>
      <c r="H143" s="12" t="s">
        <v>259</v>
      </c>
      <c r="I143" s="12" t="s">
        <v>2280</v>
      </c>
      <c r="J143" s="12" t="s">
        <v>2281</v>
      </c>
      <c r="K143" s="12" t="s">
        <v>2224</v>
      </c>
      <c r="L143" s="12" t="s">
        <v>209</v>
      </c>
      <c r="M143" s="18" t="s">
        <v>2992</v>
      </c>
      <c r="N143" s="18" t="s">
        <v>2993</v>
      </c>
    </row>
    <row r="144" spans="1:14" x14ac:dyDescent="0.35">
      <c r="A144" s="18" t="s">
        <v>2994</v>
      </c>
      <c r="B144" s="18" t="s">
        <v>2995</v>
      </c>
      <c r="C144" s="12" t="s">
        <v>128</v>
      </c>
      <c r="D144" s="18"/>
      <c r="E144" s="18"/>
      <c r="F144" s="12" t="s">
        <v>53</v>
      </c>
      <c r="G144" s="12" t="s">
        <v>54</v>
      </c>
      <c r="H144" s="12" t="s">
        <v>259</v>
      </c>
      <c r="I144" s="12" t="s">
        <v>2996</v>
      </c>
      <c r="J144" s="12" t="s">
        <v>2997</v>
      </c>
      <c r="K144" s="12" t="s">
        <v>2224</v>
      </c>
      <c r="L144" s="12" t="s">
        <v>216</v>
      </c>
      <c r="M144" s="18" t="s">
        <v>2998</v>
      </c>
      <c r="N144" s="18" t="s">
        <v>2999</v>
      </c>
    </row>
    <row r="145" spans="1:14" ht="56.5" x14ac:dyDescent="0.35">
      <c r="A145" s="18" t="s">
        <v>2543</v>
      </c>
      <c r="B145" s="18" t="s">
        <v>2544</v>
      </c>
      <c r="C145" s="12" t="s">
        <v>122</v>
      </c>
      <c r="D145" s="18" t="s">
        <v>33</v>
      </c>
      <c r="E145" s="18" t="s">
        <v>2414</v>
      </c>
      <c r="F145" s="12" t="s">
        <v>53</v>
      </c>
      <c r="G145" s="12" t="s">
        <v>54</v>
      </c>
      <c r="H145" s="12" t="s">
        <v>259</v>
      </c>
      <c r="I145" s="12" t="s">
        <v>2248</v>
      </c>
      <c r="J145" s="12" t="s">
        <v>2249</v>
      </c>
      <c r="K145" s="12" t="s">
        <v>2224</v>
      </c>
      <c r="L145" s="12" t="s">
        <v>209</v>
      </c>
      <c r="M145" s="18" t="s">
        <v>2545</v>
      </c>
      <c r="N145" s="18" t="s">
        <v>2546</v>
      </c>
    </row>
    <row r="146" spans="1:14" x14ac:dyDescent="0.35">
      <c r="A146" s="18" t="s">
        <v>2826</v>
      </c>
      <c r="B146" s="18" t="s">
        <v>2827</v>
      </c>
      <c r="C146" s="12" t="s">
        <v>125</v>
      </c>
      <c r="D146" s="18"/>
      <c r="E146" s="18"/>
      <c r="F146" s="12" t="s">
        <v>55</v>
      </c>
      <c r="G146" s="12" t="s">
        <v>56</v>
      </c>
      <c r="H146" s="12" t="s">
        <v>259</v>
      </c>
      <c r="I146" s="12" t="s">
        <v>2828</v>
      </c>
      <c r="J146" s="12" t="s">
        <v>2829</v>
      </c>
      <c r="K146" s="12" t="s">
        <v>2224</v>
      </c>
      <c r="L146" s="12" t="s">
        <v>2561</v>
      </c>
      <c r="M146" s="18" t="s">
        <v>2567</v>
      </c>
      <c r="N146" s="18"/>
    </row>
    <row r="147" spans="1:14" x14ac:dyDescent="0.35">
      <c r="A147" s="18" t="s">
        <v>2830</v>
      </c>
      <c r="B147" s="18" t="s">
        <v>2295</v>
      </c>
      <c r="C147" s="12" t="s">
        <v>125</v>
      </c>
      <c r="D147" s="18"/>
      <c r="E147" s="18"/>
      <c r="F147" s="12" t="s">
        <v>55</v>
      </c>
      <c r="G147" s="12" t="s">
        <v>56</v>
      </c>
      <c r="H147" s="12" t="s">
        <v>198</v>
      </c>
      <c r="I147" s="12" t="s">
        <v>2296</v>
      </c>
      <c r="J147" s="12" t="s">
        <v>2297</v>
      </c>
      <c r="K147" s="12" t="s">
        <v>2224</v>
      </c>
      <c r="L147" s="12" t="s">
        <v>2561</v>
      </c>
      <c r="M147" s="18" t="s">
        <v>2567</v>
      </c>
      <c r="N147" s="18"/>
    </row>
    <row r="148" spans="1:14" ht="70.5" x14ac:dyDescent="0.35">
      <c r="A148" s="18" t="s">
        <v>3000</v>
      </c>
      <c r="B148" s="18" t="s">
        <v>3001</v>
      </c>
      <c r="C148" s="12" t="s">
        <v>128</v>
      </c>
      <c r="D148" s="18"/>
      <c r="E148" s="18"/>
      <c r="F148" s="12" t="s">
        <v>73</v>
      </c>
      <c r="G148" s="12" t="s">
        <v>74</v>
      </c>
      <c r="H148" s="12" t="s">
        <v>259</v>
      </c>
      <c r="I148" s="12" t="s">
        <v>2233</v>
      </c>
      <c r="J148" s="12" t="s">
        <v>2234</v>
      </c>
      <c r="K148" s="12" t="s">
        <v>2224</v>
      </c>
      <c r="L148" s="12" t="s">
        <v>216</v>
      </c>
      <c r="M148" s="18" t="s">
        <v>3002</v>
      </c>
      <c r="N148" s="18" t="s">
        <v>3003</v>
      </c>
    </row>
    <row r="149" spans="1:14" ht="56.5" x14ac:dyDescent="0.35">
      <c r="A149" s="18" t="s">
        <v>2547</v>
      </c>
      <c r="B149" s="18" t="s">
        <v>2548</v>
      </c>
      <c r="C149" s="12" t="s">
        <v>122</v>
      </c>
      <c r="D149" s="18" t="s">
        <v>34</v>
      </c>
      <c r="E149" s="18" t="s">
        <v>2414</v>
      </c>
      <c r="F149" s="12" t="s">
        <v>65</v>
      </c>
      <c r="G149" s="12" t="s">
        <v>66</v>
      </c>
      <c r="H149" s="12" t="s">
        <v>259</v>
      </c>
      <c r="I149" s="12" t="s">
        <v>2222</v>
      </c>
      <c r="J149" s="12" t="s">
        <v>2223</v>
      </c>
      <c r="K149" s="12" t="s">
        <v>2224</v>
      </c>
      <c r="L149" s="12" t="s">
        <v>216</v>
      </c>
      <c r="M149" s="18" t="s">
        <v>2549</v>
      </c>
      <c r="N149" s="18" t="s">
        <v>2550</v>
      </c>
    </row>
    <row r="150" spans="1:14" ht="28.5" x14ac:dyDescent="0.35">
      <c r="A150" s="18" t="s">
        <v>2831</v>
      </c>
      <c r="B150" s="18" t="s">
        <v>2832</v>
      </c>
      <c r="C150" s="12" t="s">
        <v>125</v>
      </c>
      <c r="D150" s="18"/>
      <c r="E150" s="18"/>
      <c r="F150" s="12" t="s">
        <v>63</v>
      </c>
      <c r="G150" s="12" t="s">
        <v>64</v>
      </c>
      <c r="H150" s="12" t="s">
        <v>259</v>
      </c>
      <c r="I150" s="12" t="s">
        <v>2833</v>
      </c>
      <c r="J150" s="12" t="s">
        <v>2834</v>
      </c>
      <c r="K150" s="12" t="s">
        <v>2224</v>
      </c>
      <c r="L150" s="12" t="s">
        <v>2561</v>
      </c>
      <c r="M150" s="18" t="s">
        <v>2630</v>
      </c>
      <c r="N150" s="18"/>
    </row>
    <row r="151" spans="1:14" ht="56.5" x14ac:dyDescent="0.35">
      <c r="A151" s="18" t="s">
        <v>3004</v>
      </c>
      <c r="B151" s="18" t="s">
        <v>3005</v>
      </c>
      <c r="C151" s="12" t="s">
        <v>128</v>
      </c>
      <c r="D151" s="18"/>
      <c r="E151" s="18" t="s">
        <v>2414</v>
      </c>
      <c r="F151" s="12" t="s">
        <v>3006</v>
      </c>
      <c r="G151" s="12" t="s">
        <v>3007</v>
      </c>
      <c r="H151" s="12" t="s">
        <v>259</v>
      </c>
      <c r="I151" s="12" t="s">
        <v>3008</v>
      </c>
      <c r="J151" s="12" t="s">
        <v>3009</v>
      </c>
      <c r="K151" s="12" t="s">
        <v>2224</v>
      </c>
      <c r="L151" s="12" t="s">
        <v>216</v>
      </c>
      <c r="M151" s="18" t="s">
        <v>3010</v>
      </c>
      <c r="N151" s="18" t="s">
        <v>3011</v>
      </c>
    </row>
    <row r="152" spans="1:14" x14ac:dyDescent="0.35">
      <c r="A152" s="18" t="s">
        <v>2835</v>
      </c>
      <c r="B152" s="18" t="s">
        <v>2836</v>
      </c>
      <c r="C152" s="12" t="s">
        <v>125</v>
      </c>
      <c r="D152" s="18"/>
      <c r="E152" s="18"/>
      <c r="F152" s="12" t="s">
        <v>55</v>
      </c>
      <c r="G152" s="12" t="s">
        <v>56</v>
      </c>
      <c r="H152" s="12" t="s">
        <v>259</v>
      </c>
      <c r="I152" s="12" t="s">
        <v>2296</v>
      </c>
      <c r="J152" s="12" t="s">
        <v>2297</v>
      </c>
      <c r="K152" s="12" t="s">
        <v>2224</v>
      </c>
      <c r="L152" s="12" t="s">
        <v>209</v>
      </c>
      <c r="M152" s="18" t="s">
        <v>2837</v>
      </c>
      <c r="N152" s="18" t="s">
        <v>2838</v>
      </c>
    </row>
    <row r="153" spans="1:14" ht="28.5" x14ac:dyDescent="0.35">
      <c r="A153" s="18" t="s">
        <v>2843</v>
      </c>
      <c r="B153" s="18" t="s">
        <v>2844</v>
      </c>
      <c r="C153" s="12" t="s">
        <v>125</v>
      </c>
      <c r="D153" s="18"/>
      <c r="E153" s="18"/>
      <c r="F153" s="12" t="s">
        <v>83</v>
      </c>
      <c r="G153" s="12" t="s">
        <v>84</v>
      </c>
      <c r="H153" s="12" t="s">
        <v>198</v>
      </c>
      <c r="I153" s="12" t="s">
        <v>2845</v>
      </c>
      <c r="J153" s="12" t="s">
        <v>2846</v>
      </c>
      <c r="K153" s="12" t="s">
        <v>2317</v>
      </c>
      <c r="L153" s="12" t="s">
        <v>209</v>
      </c>
      <c r="M153" s="18" t="s">
        <v>2847</v>
      </c>
      <c r="N153" s="18" t="s">
        <v>2848</v>
      </c>
    </row>
    <row r="154" spans="1:14" x14ac:dyDescent="0.35">
      <c r="A154" s="18" t="s">
        <v>3077</v>
      </c>
      <c r="B154" s="18" t="s">
        <v>3078</v>
      </c>
      <c r="C154" s="12" t="s">
        <v>131</v>
      </c>
      <c r="D154" s="18"/>
      <c r="E154" s="18"/>
      <c r="F154" s="12" t="s">
        <v>59</v>
      </c>
      <c r="G154" s="12" t="s">
        <v>60</v>
      </c>
      <c r="H154" s="12" t="s">
        <v>198</v>
      </c>
      <c r="I154" s="12" t="s">
        <v>2845</v>
      </c>
      <c r="J154" s="12" t="s">
        <v>2846</v>
      </c>
      <c r="K154" s="12" t="s">
        <v>2317</v>
      </c>
      <c r="L154" s="12" t="s">
        <v>209</v>
      </c>
      <c r="M154" s="18" t="s">
        <v>3079</v>
      </c>
      <c r="N154" s="18" t="s">
        <v>3080</v>
      </c>
    </row>
    <row r="155" spans="1:14" ht="56.5" x14ac:dyDescent="0.35">
      <c r="A155" s="18" t="s">
        <v>2551</v>
      </c>
      <c r="B155" s="18" t="s">
        <v>2552</v>
      </c>
      <c r="C155" s="12" t="s">
        <v>122</v>
      </c>
      <c r="D155" s="18" t="s">
        <v>36</v>
      </c>
      <c r="E155" s="18" t="s">
        <v>2414</v>
      </c>
      <c r="F155" s="12" t="s">
        <v>77</v>
      </c>
      <c r="G155" s="12" t="s">
        <v>78</v>
      </c>
      <c r="H155" s="12" t="s">
        <v>259</v>
      </c>
      <c r="I155" s="12" t="s">
        <v>2553</v>
      </c>
      <c r="J155" s="12" t="s">
        <v>2554</v>
      </c>
      <c r="K155" s="12" t="s">
        <v>2317</v>
      </c>
      <c r="L155" s="12" t="s">
        <v>209</v>
      </c>
      <c r="M155" s="18" t="s">
        <v>2555</v>
      </c>
      <c r="N155" s="18" t="s">
        <v>2556</v>
      </c>
    </row>
    <row r="156" spans="1:14" ht="56.5" x14ac:dyDescent="0.35">
      <c r="A156" s="18" t="s">
        <v>2849</v>
      </c>
      <c r="B156" s="18" t="s">
        <v>2850</v>
      </c>
      <c r="C156" s="12" t="s">
        <v>122</v>
      </c>
      <c r="D156" s="18" t="s">
        <v>33</v>
      </c>
      <c r="E156" s="18" t="s">
        <v>2414</v>
      </c>
      <c r="F156" s="12" t="s">
        <v>57</v>
      </c>
      <c r="G156" s="12" t="s">
        <v>58</v>
      </c>
      <c r="H156" s="12" t="s">
        <v>239</v>
      </c>
      <c r="I156" s="12" t="s">
        <v>2851</v>
      </c>
      <c r="J156" s="12" t="s">
        <v>2852</v>
      </c>
      <c r="K156" s="12" t="s">
        <v>2317</v>
      </c>
      <c r="L156" s="12" t="s">
        <v>216</v>
      </c>
      <c r="M156" s="18" t="s">
        <v>4768</v>
      </c>
      <c r="N156" s="18" t="s">
        <v>4769</v>
      </c>
    </row>
    <row r="157" spans="1:14" x14ac:dyDescent="0.35">
      <c r="A157" s="18" t="s">
        <v>2853</v>
      </c>
      <c r="B157" s="18" t="s">
        <v>2854</v>
      </c>
      <c r="C157" s="12" t="s">
        <v>125</v>
      </c>
      <c r="D157" s="18"/>
      <c r="E157" s="18"/>
      <c r="F157" s="12" t="s">
        <v>53</v>
      </c>
      <c r="G157" s="12" t="s">
        <v>54</v>
      </c>
      <c r="H157" s="12" t="s">
        <v>259</v>
      </c>
      <c r="I157" s="12" t="s">
        <v>2855</v>
      </c>
      <c r="J157" s="12" t="s">
        <v>2856</v>
      </c>
      <c r="K157" s="12" t="s">
        <v>2317</v>
      </c>
      <c r="L157" s="12" t="s">
        <v>209</v>
      </c>
      <c r="M157" s="18" t="s">
        <v>2857</v>
      </c>
      <c r="N157" s="18" t="s">
        <v>2858</v>
      </c>
    </row>
    <row r="158" spans="1:14" x14ac:dyDescent="0.35">
      <c r="A158" s="18" t="s">
        <v>2859</v>
      </c>
      <c r="B158" s="18" t="s">
        <v>2860</v>
      </c>
      <c r="C158" s="12" t="s">
        <v>125</v>
      </c>
      <c r="D158" s="18"/>
      <c r="E158" s="18"/>
      <c r="F158" s="12" t="s">
        <v>79</v>
      </c>
      <c r="G158" s="12" t="s">
        <v>80</v>
      </c>
      <c r="H158" s="12" t="s">
        <v>198</v>
      </c>
      <c r="I158" s="12" t="s">
        <v>2333</v>
      </c>
      <c r="J158" s="12" t="s">
        <v>2334</v>
      </c>
      <c r="K158" s="12" t="s">
        <v>2317</v>
      </c>
      <c r="L158" s="12" t="s">
        <v>2561</v>
      </c>
      <c r="M158" s="18" t="s">
        <v>2861</v>
      </c>
      <c r="N158" s="18"/>
    </row>
    <row r="159" spans="1:14" x14ac:dyDescent="0.35">
      <c r="A159" s="18" t="s">
        <v>2862</v>
      </c>
      <c r="B159" s="18" t="s">
        <v>2863</v>
      </c>
      <c r="C159" s="12" t="s">
        <v>125</v>
      </c>
      <c r="D159" s="18"/>
      <c r="E159" s="18"/>
      <c r="F159" s="12" t="s">
        <v>55</v>
      </c>
      <c r="G159" s="12" t="s">
        <v>56</v>
      </c>
      <c r="H159" s="12" t="s">
        <v>259</v>
      </c>
      <c r="I159" s="12" t="s">
        <v>2864</v>
      </c>
      <c r="J159" s="12" t="s">
        <v>2865</v>
      </c>
      <c r="K159" s="12" t="s">
        <v>2317</v>
      </c>
      <c r="L159" s="12" t="s">
        <v>2561</v>
      </c>
      <c r="M159" s="18" t="s">
        <v>2567</v>
      </c>
      <c r="N159" s="18"/>
    </row>
    <row r="160" spans="1:14" x14ac:dyDescent="0.35">
      <c r="A160" s="18" t="s">
        <v>3012</v>
      </c>
      <c r="B160" s="18" t="s">
        <v>3013</v>
      </c>
      <c r="C160" s="12" t="s">
        <v>128</v>
      </c>
      <c r="D160" s="18"/>
      <c r="E160" s="18"/>
      <c r="F160" s="12" t="s">
        <v>65</v>
      </c>
      <c r="G160" s="12" t="s">
        <v>66</v>
      </c>
      <c r="H160" s="12" t="s">
        <v>259</v>
      </c>
      <c r="I160" s="12" t="s">
        <v>3014</v>
      </c>
      <c r="J160" s="12" t="s">
        <v>3015</v>
      </c>
      <c r="K160" s="12" t="s">
        <v>2355</v>
      </c>
      <c r="L160" s="12" t="s">
        <v>209</v>
      </c>
      <c r="M160" s="18" t="s">
        <v>3016</v>
      </c>
      <c r="N160" s="18" t="s">
        <v>3017</v>
      </c>
    </row>
    <row r="161" spans="1:14" x14ac:dyDescent="0.35">
      <c r="A161" s="18" t="s">
        <v>2866</v>
      </c>
      <c r="B161" s="18" t="s">
        <v>2867</v>
      </c>
      <c r="C161" s="12" t="s">
        <v>125</v>
      </c>
      <c r="D161" s="18"/>
      <c r="E161" s="18"/>
      <c r="F161" s="12" t="s">
        <v>63</v>
      </c>
      <c r="G161" s="12" t="s">
        <v>64</v>
      </c>
      <c r="H161" s="12" t="s">
        <v>198</v>
      </c>
      <c r="I161" s="12" t="s">
        <v>2364</v>
      </c>
      <c r="J161" s="12" t="s">
        <v>2365</v>
      </c>
      <c r="K161" s="12" t="s">
        <v>2355</v>
      </c>
      <c r="L161" s="12" t="s">
        <v>2561</v>
      </c>
      <c r="M161" s="18" t="s">
        <v>2630</v>
      </c>
      <c r="N161" s="18"/>
    </row>
    <row r="162" spans="1:14" ht="56.5" x14ac:dyDescent="0.35">
      <c r="A162" s="18" t="s">
        <v>2868</v>
      </c>
      <c r="B162" s="18" t="s">
        <v>2869</v>
      </c>
      <c r="C162" s="12" t="s">
        <v>125</v>
      </c>
      <c r="D162" s="18"/>
      <c r="E162" s="18" t="s">
        <v>2414</v>
      </c>
      <c r="F162" s="12" t="s">
        <v>73</v>
      </c>
      <c r="G162" s="12" t="s">
        <v>74</v>
      </c>
      <c r="H162" s="12" t="s">
        <v>198</v>
      </c>
      <c r="I162" s="12" t="s">
        <v>2870</v>
      </c>
      <c r="J162" s="12" t="s">
        <v>2871</v>
      </c>
      <c r="K162" s="12" t="s">
        <v>2355</v>
      </c>
      <c r="L162" s="12" t="s">
        <v>209</v>
      </c>
      <c r="M162" s="18" t="s">
        <v>2814</v>
      </c>
      <c r="N162" s="18" t="s">
        <v>2872</v>
      </c>
    </row>
    <row r="163" spans="1:14" ht="28.5" x14ac:dyDescent="0.35">
      <c r="A163" s="18" t="s">
        <v>2873</v>
      </c>
      <c r="B163" s="18" t="s">
        <v>2874</v>
      </c>
      <c r="C163" s="12" t="s">
        <v>125</v>
      </c>
      <c r="D163" s="18"/>
      <c r="E163" s="18"/>
      <c r="F163" s="12" t="s">
        <v>69</v>
      </c>
      <c r="G163" s="12" t="s">
        <v>70</v>
      </c>
      <c r="H163" s="12" t="s">
        <v>198</v>
      </c>
      <c r="I163" s="12" t="s">
        <v>2875</v>
      </c>
      <c r="J163" s="12" t="s">
        <v>2876</v>
      </c>
      <c r="K163" s="12" t="s">
        <v>2877</v>
      </c>
      <c r="L163" s="12" t="s">
        <v>2561</v>
      </c>
      <c r="M163" s="18" t="s">
        <v>2587</v>
      </c>
      <c r="N163" s="18"/>
    </row>
    <row r="164" spans="1:14" x14ac:dyDescent="0.35">
      <c r="A164" s="18" t="s">
        <v>3018</v>
      </c>
      <c r="B164" s="18" t="s">
        <v>3019</v>
      </c>
      <c r="C164" s="12" t="s">
        <v>128</v>
      </c>
      <c r="D164" s="18"/>
      <c r="E164" s="18"/>
      <c r="F164" s="12" t="s">
        <v>67</v>
      </c>
      <c r="G164" s="12" t="s">
        <v>68</v>
      </c>
      <c r="H164" s="12" t="s">
        <v>259</v>
      </c>
      <c r="I164" s="12" t="s">
        <v>3020</v>
      </c>
      <c r="J164" s="12" t="s">
        <v>3021</v>
      </c>
      <c r="K164" s="12" t="s">
        <v>3022</v>
      </c>
      <c r="L164" s="12" t="s">
        <v>209</v>
      </c>
      <c r="M164" s="18" t="s">
        <v>3023</v>
      </c>
      <c r="N164" s="18" t="s">
        <v>3024</v>
      </c>
    </row>
  </sheetData>
  <autoFilter ref="A4:N164" xr:uid="{00000000-0001-0000-0600-000000000000}">
    <sortState xmlns:xlrd2="http://schemas.microsoft.com/office/spreadsheetml/2017/richdata2" ref="A5:N180">
      <sortCondition ref="K5:K180"/>
      <sortCondition ref="B5:B180"/>
    </sortState>
  </autoFilter>
  <mergeCells count="2">
    <mergeCell ref="A2:B2"/>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B9A6-BB50-46BB-B1D1-A3FA6582ADF3}">
  <dimension ref="A1:T626"/>
  <sheetViews>
    <sheetView workbookViewId="0">
      <pane xSplit="2" ySplit="1" topLeftCell="C2" activePane="bottomRight" state="frozen"/>
      <selection pane="topRight"/>
      <selection pane="bottomLeft"/>
      <selection pane="bottomRight" activeCell="C2" sqref="C2"/>
    </sheetView>
  </sheetViews>
  <sheetFormatPr defaultRowHeight="14.5" x14ac:dyDescent="0.35"/>
  <cols>
    <col min="1" max="1" width="11" customWidth="1"/>
    <col min="2" max="2" width="22.90625" style="20" customWidth="1"/>
    <col min="3" max="3" width="17.54296875" customWidth="1"/>
    <col min="4" max="4" width="44.90625" bestFit="1" customWidth="1"/>
    <col min="5" max="5" width="30" customWidth="1"/>
    <col min="6" max="7" width="50.6328125" style="30" customWidth="1"/>
    <col min="8" max="8" width="40" customWidth="1"/>
    <col min="9" max="9" width="15.81640625" customWidth="1"/>
    <col min="10" max="10" width="40" customWidth="1"/>
    <col min="11" max="11" width="18" customWidth="1"/>
    <col min="12" max="12" width="17" customWidth="1"/>
    <col min="13" max="13" width="33.90625" bestFit="1" customWidth="1"/>
    <col min="14" max="14" width="10" customWidth="1"/>
    <col min="15" max="15" width="8" customWidth="1"/>
    <col min="16" max="16" width="22" customWidth="1"/>
    <col min="17" max="17" width="11" customWidth="1"/>
    <col min="18" max="18" width="45" style="20" customWidth="1"/>
    <col min="19" max="19" width="60" customWidth="1"/>
    <col min="20" max="20" width="21.36328125" customWidth="1"/>
  </cols>
  <sheetData>
    <row r="1" spans="1:20" ht="28" x14ac:dyDescent="0.35">
      <c r="A1" s="4" t="s">
        <v>187</v>
      </c>
      <c r="B1" s="4" t="s">
        <v>188</v>
      </c>
      <c r="C1" s="4" t="s">
        <v>119</v>
      </c>
      <c r="D1" s="4" t="s">
        <v>30</v>
      </c>
      <c r="E1" s="4" t="s">
        <v>189</v>
      </c>
      <c r="F1" s="27" t="s">
        <v>194</v>
      </c>
      <c r="G1" s="27" t="s">
        <v>195</v>
      </c>
      <c r="H1" s="4" t="s">
        <v>100</v>
      </c>
      <c r="I1" s="4" t="s">
        <v>45</v>
      </c>
      <c r="J1" s="4" t="s">
        <v>46</v>
      </c>
      <c r="K1" s="4" t="s">
        <v>3244</v>
      </c>
      <c r="L1" s="4" t="s">
        <v>190</v>
      </c>
      <c r="M1" s="4" t="s">
        <v>191</v>
      </c>
      <c r="N1" s="4" t="s">
        <v>192</v>
      </c>
      <c r="O1" s="4" t="s">
        <v>193</v>
      </c>
      <c r="P1" s="4" t="s">
        <v>3245</v>
      </c>
      <c r="Q1" s="4" t="s">
        <v>3246</v>
      </c>
      <c r="R1" s="4" t="s">
        <v>3247</v>
      </c>
      <c r="S1" s="4" t="s">
        <v>3248</v>
      </c>
      <c r="T1" s="4" t="s">
        <v>3249</v>
      </c>
    </row>
    <row r="2" spans="1:20" ht="42" x14ac:dyDescent="0.35">
      <c r="A2" s="12" t="s">
        <v>196</v>
      </c>
      <c r="B2" s="12" t="s">
        <v>197</v>
      </c>
      <c r="C2" s="12" t="s">
        <v>122</v>
      </c>
      <c r="D2" s="12" t="s">
        <v>33</v>
      </c>
      <c r="E2" s="12"/>
      <c r="F2" s="28" t="s">
        <v>202</v>
      </c>
      <c r="G2" s="28" t="s">
        <v>203</v>
      </c>
      <c r="H2" s="12" t="s">
        <v>204</v>
      </c>
      <c r="I2" s="12" t="s">
        <v>53</v>
      </c>
      <c r="J2" s="12" t="s">
        <v>54</v>
      </c>
      <c r="K2" s="12" t="s">
        <v>228</v>
      </c>
      <c r="L2" s="12" t="s">
        <v>198</v>
      </c>
      <c r="M2" s="12" t="s">
        <v>199</v>
      </c>
      <c r="N2" s="12" t="s">
        <v>200</v>
      </c>
      <c r="O2" s="12" t="s">
        <v>201</v>
      </c>
      <c r="P2" s="12"/>
      <c r="Q2" s="12"/>
      <c r="R2" s="12" t="s">
        <v>3250</v>
      </c>
      <c r="S2" s="12" t="s">
        <v>3251</v>
      </c>
      <c r="T2" s="12" t="s">
        <v>3252</v>
      </c>
    </row>
    <row r="3" spans="1:20" ht="28" x14ac:dyDescent="0.35">
      <c r="A3" s="12" t="s">
        <v>205</v>
      </c>
      <c r="B3" s="12" t="s">
        <v>206</v>
      </c>
      <c r="C3" s="12" t="s">
        <v>122</v>
      </c>
      <c r="D3" s="12" t="s">
        <v>38</v>
      </c>
      <c r="E3" s="12"/>
      <c r="F3" s="28" t="s">
        <v>209</v>
      </c>
      <c r="G3" s="28" t="s">
        <v>210</v>
      </c>
      <c r="H3" s="12" t="s">
        <v>211</v>
      </c>
      <c r="I3" s="12" t="s">
        <v>83</v>
      </c>
      <c r="J3" s="12" t="s">
        <v>84</v>
      </c>
      <c r="K3" s="12" t="s">
        <v>228</v>
      </c>
      <c r="L3" s="12" t="s">
        <v>198</v>
      </c>
      <c r="M3" s="12" t="s">
        <v>207</v>
      </c>
      <c r="N3" s="12" t="s">
        <v>208</v>
      </c>
      <c r="O3" s="12" t="s">
        <v>201</v>
      </c>
      <c r="P3" s="12"/>
      <c r="Q3" s="12"/>
      <c r="R3" s="12"/>
      <c r="S3" s="12"/>
      <c r="T3" s="12" t="s">
        <v>3253</v>
      </c>
    </row>
    <row r="4" spans="1:20" x14ac:dyDescent="0.35">
      <c r="A4" s="12" t="s">
        <v>212</v>
      </c>
      <c r="B4" s="12" t="s">
        <v>213</v>
      </c>
      <c r="C4" s="12" t="s">
        <v>122</v>
      </c>
      <c r="D4" s="12" t="s">
        <v>34</v>
      </c>
      <c r="E4" s="12"/>
      <c r="F4" s="28" t="s">
        <v>216</v>
      </c>
      <c r="G4" s="28" t="s">
        <v>217</v>
      </c>
      <c r="H4" s="12" t="s">
        <v>218</v>
      </c>
      <c r="I4" s="12" t="s">
        <v>65</v>
      </c>
      <c r="J4" s="12" t="s">
        <v>66</v>
      </c>
      <c r="K4" s="12" t="s">
        <v>228</v>
      </c>
      <c r="L4" s="12" t="s">
        <v>198</v>
      </c>
      <c r="M4" s="12" t="s">
        <v>214</v>
      </c>
      <c r="N4" s="12" t="s">
        <v>215</v>
      </c>
      <c r="O4" s="12" t="s">
        <v>201</v>
      </c>
      <c r="P4" s="12"/>
      <c r="Q4" s="12"/>
      <c r="R4" s="12"/>
      <c r="S4" s="12" t="s">
        <v>3254</v>
      </c>
      <c r="T4" s="12" t="s">
        <v>3255</v>
      </c>
    </row>
    <row r="5" spans="1:20" x14ac:dyDescent="0.35">
      <c r="A5" s="12" t="s">
        <v>219</v>
      </c>
      <c r="B5" s="12" t="s">
        <v>220</v>
      </c>
      <c r="C5" s="12" t="s">
        <v>122</v>
      </c>
      <c r="D5" s="12" t="s">
        <v>34</v>
      </c>
      <c r="E5" s="12"/>
      <c r="F5" s="28" t="s">
        <v>216</v>
      </c>
      <c r="G5" s="28" t="s">
        <v>222</v>
      </c>
      <c r="H5" s="12" t="s">
        <v>223</v>
      </c>
      <c r="I5" s="12" t="s">
        <v>65</v>
      </c>
      <c r="J5" s="12" t="s">
        <v>66</v>
      </c>
      <c r="K5" s="12" t="s">
        <v>228</v>
      </c>
      <c r="L5" s="12" t="s">
        <v>198</v>
      </c>
      <c r="M5" s="12" t="s">
        <v>221</v>
      </c>
      <c r="N5" s="12" t="s">
        <v>215</v>
      </c>
      <c r="O5" s="12" t="s">
        <v>201</v>
      </c>
      <c r="P5" s="12"/>
      <c r="Q5" s="12"/>
      <c r="R5" s="12"/>
      <c r="S5" s="12" t="s">
        <v>3256</v>
      </c>
      <c r="T5" s="12" t="s">
        <v>3257</v>
      </c>
    </row>
    <row r="6" spans="1:20" ht="28" x14ac:dyDescent="0.35">
      <c r="A6" s="12" t="s">
        <v>224</v>
      </c>
      <c r="B6" s="12" t="s">
        <v>225</v>
      </c>
      <c r="C6" s="12" t="s">
        <v>122</v>
      </c>
      <c r="D6" s="12" t="s">
        <v>33</v>
      </c>
      <c r="E6" s="12"/>
      <c r="F6" s="28" t="s">
        <v>202</v>
      </c>
      <c r="G6" s="28" t="s">
        <v>229</v>
      </c>
      <c r="H6" s="12" t="s">
        <v>204</v>
      </c>
      <c r="I6" s="12" t="s">
        <v>53</v>
      </c>
      <c r="J6" s="12" t="s">
        <v>54</v>
      </c>
      <c r="K6" s="12" t="s">
        <v>228</v>
      </c>
      <c r="L6" s="12" t="s">
        <v>198</v>
      </c>
      <c r="M6" s="12" t="s">
        <v>226</v>
      </c>
      <c r="N6" s="12" t="s">
        <v>227</v>
      </c>
      <c r="O6" s="12" t="s">
        <v>228</v>
      </c>
      <c r="P6" s="12"/>
      <c r="Q6" s="12"/>
      <c r="R6" s="12" t="s">
        <v>3250</v>
      </c>
      <c r="S6" s="12" t="s">
        <v>3258</v>
      </c>
      <c r="T6" s="12" t="s">
        <v>3259</v>
      </c>
    </row>
    <row r="7" spans="1:20" x14ac:dyDescent="0.35">
      <c r="A7" s="12" t="s">
        <v>230</v>
      </c>
      <c r="B7" s="12" t="s">
        <v>231</v>
      </c>
      <c r="C7" s="12" t="s">
        <v>122</v>
      </c>
      <c r="D7" s="12" t="s">
        <v>33</v>
      </c>
      <c r="E7" s="12"/>
      <c r="F7" s="28" t="s">
        <v>209</v>
      </c>
      <c r="G7" s="28" t="s">
        <v>235</v>
      </c>
      <c r="H7" s="12" t="s">
        <v>236</v>
      </c>
      <c r="I7" s="12" t="s">
        <v>53</v>
      </c>
      <c r="J7" s="12" t="s">
        <v>54</v>
      </c>
      <c r="K7" s="12" t="s">
        <v>228</v>
      </c>
      <c r="L7" s="12" t="s">
        <v>198</v>
      </c>
      <c r="M7" s="12" t="s">
        <v>232</v>
      </c>
      <c r="N7" s="12" t="s">
        <v>233</v>
      </c>
      <c r="O7" s="12" t="s">
        <v>234</v>
      </c>
      <c r="P7" s="12"/>
      <c r="Q7" s="12"/>
      <c r="R7" s="12"/>
      <c r="S7" s="12"/>
      <c r="T7" s="12" t="s">
        <v>3260</v>
      </c>
    </row>
    <row r="8" spans="1:20" ht="28" x14ac:dyDescent="0.35">
      <c r="A8" s="12" t="s">
        <v>237</v>
      </c>
      <c r="B8" s="12" t="s">
        <v>238</v>
      </c>
      <c r="C8" s="12" t="s">
        <v>122</v>
      </c>
      <c r="D8" s="12" t="s">
        <v>33</v>
      </c>
      <c r="E8" s="12"/>
      <c r="F8" s="28" t="s">
        <v>209</v>
      </c>
      <c r="G8" s="28" t="s">
        <v>243</v>
      </c>
      <c r="H8" s="12" t="s">
        <v>244</v>
      </c>
      <c r="I8" s="12" t="s">
        <v>53</v>
      </c>
      <c r="J8" s="12" t="s">
        <v>54</v>
      </c>
      <c r="K8" s="12" t="s">
        <v>331</v>
      </c>
      <c r="L8" s="12" t="s">
        <v>239</v>
      </c>
      <c r="M8" s="12" t="s">
        <v>240</v>
      </c>
      <c r="N8" s="12" t="s">
        <v>241</v>
      </c>
      <c r="O8" s="12" t="s">
        <v>242</v>
      </c>
      <c r="P8" s="12"/>
      <c r="Q8" s="12"/>
      <c r="R8" s="12"/>
      <c r="S8" s="12" t="s">
        <v>3261</v>
      </c>
      <c r="T8" s="12" t="s">
        <v>3262</v>
      </c>
    </row>
    <row r="9" spans="1:20" x14ac:dyDescent="0.35">
      <c r="A9" s="12" t="s">
        <v>245</v>
      </c>
      <c r="B9" s="12" t="s">
        <v>246</v>
      </c>
      <c r="C9" s="12" t="s">
        <v>122</v>
      </c>
      <c r="D9" s="12" t="s">
        <v>33</v>
      </c>
      <c r="E9" s="12"/>
      <c r="F9" s="28" t="s">
        <v>209</v>
      </c>
      <c r="G9" s="28" t="s">
        <v>249</v>
      </c>
      <c r="H9" s="12" t="s">
        <v>250</v>
      </c>
      <c r="I9" s="12" t="s">
        <v>69</v>
      </c>
      <c r="J9" s="12" t="s">
        <v>70</v>
      </c>
      <c r="K9" s="12" t="s">
        <v>228</v>
      </c>
      <c r="L9" s="12" t="s">
        <v>198</v>
      </c>
      <c r="M9" s="12" t="s">
        <v>247</v>
      </c>
      <c r="N9" s="12" t="s">
        <v>248</v>
      </c>
      <c r="O9" s="12" t="s">
        <v>242</v>
      </c>
      <c r="P9" s="12"/>
      <c r="Q9" s="12"/>
      <c r="R9" s="12"/>
      <c r="S9" s="12"/>
      <c r="T9" s="12" t="s">
        <v>3263</v>
      </c>
    </row>
    <row r="10" spans="1:20" x14ac:dyDescent="0.35">
      <c r="A10" s="12" t="s">
        <v>251</v>
      </c>
      <c r="B10" s="12" t="s">
        <v>252</v>
      </c>
      <c r="C10" s="12" t="s">
        <v>122</v>
      </c>
      <c r="D10" s="12" t="s">
        <v>33</v>
      </c>
      <c r="E10" s="12"/>
      <c r="F10" s="28" t="s">
        <v>209</v>
      </c>
      <c r="G10" s="28" t="s">
        <v>255</v>
      </c>
      <c r="H10" s="12" t="s">
        <v>256</v>
      </c>
      <c r="I10" s="12" t="s">
        <v>53</v>
      </c>
      <c r="J10" s="12" t="s">
        <v>54</v>
      </c>
      <c r="K10" s="12" t="s">
        <v>331</v>
      </c>
      <c r="L10" s="12" t="s">
        <v>239</v>
      </c>
      <c r="M10" s="12" t="s">
        <v>253</v>
      </c>
      <c r="N10" s="12" t="s">
        <v>254</v>
      </c>
      <c r="O10" s="12" t="s">
        <v>242</v>
      </c>
      <c r="P10" s="12"/>
      <c r="Q10" s="12"/>
      <c r="R10" s="12"/>
      <c r="S10" s="12" t="s">
        <v>3264</v>
      </c>
      <c r="T10" s="12" t="s">
        <v>3265</v>
      </c>
    </row>
    <row r="11" spans="1:20" ht="28" x14ac:dyDescent="0.35">
      <c r="A11" s="12" t="s">
        <v>257</v>
      </c>
      <c r="B11" s="12" t="s">
        <v>258</v>
      </c>
      <c r="C11" s="12" t="s">
        <v>122</v>
      </c>
      <c r="D11" s="12" t="s">
        <v>33</v>
      </c>
      <c r="E11" s="12"/>
      <c r="F11" s="28" t="s">
        <v>202</v>
      </c>
      <c r="G11" s="28" t="s">
        <v>229</v>
      </c>
      <c r="H11" s="12" t="s">
        <v>204</v>
      </c>
      <c r="I11" s="12" t="s">
        <v>53</v>
      </c>
      <c r="J11" s="12" t="s">
        <v>54</v>
      </c>
      <c r="K11" s="12" t="s">
        <v>308</v>
      </c>
      <c r="L11" s="12" t="s">
        <v>259</v>
      </c>
      <c r="M11" s="12" t="s">
        <v>260</v>
      </c>
      <c r="N11" s="12" t="s">
        <v>261</v>
      </c>
      <c r="O11" s="12" t="s">
        <v>262</v>
      </c>
      <c r="P11" s="12"/>
      <c r="Q11" s="12"/>
      <c r="R11" s="12" t="s">
        <v>3266</v>
      </c>
      <c r="S11" s="12" t="s">
        <v>3267</v>
      </c>
      <c r="T11" s="12" t="s">
        <v>3268</v>
      </c>
    </row>
    <row r="12" spans="1:20" ht="42" x14ac:dyDescent="0.35">
      <c r="A12" s="12" t="s">
        <v>263</v>
      </c>
      <c r="B12" s="12" t="s">
        <v>264</v>
      </c>
      <c r="C12" s="12" t="s">
        <v>122</v>
      </c>
      <c r="D12" s="12" t="s">
        <v>33</v>
      </c>
      <c r="E12" s="12"/>
      <c r="F12" s="28" t="s">
        <v>202</v>
      </c>
      <c r="G12" s="28" t="s">
        <v>267</v>
      </c>
      <c r="H12" s="12" t="s">
        <v>204</v>
      </c>
      <c r="I12" s="12" t="s">
        <v>63</v>
      </c>
      <c r="J12" s="12" t="s">
        <v>64</v>
      </c>
      <c r="K12" s="12" t="s">
        <v>331</v>
      </c>
      <c r="L12" s="12" t="s">
        <v>239</v>
      </c>
      <c r="M12" s="12" t="s">
        <v>265</v>
      </c>
      <c r="N12" s="12" t="s">
        <v>266</v>
      </c>
      <c r="O12" s="12" t="s">
        <v>262</v>
      </c>
      <c r="P12" s="12"/>
      <c r="Q12" s="12"/>
      <c r="R12" s="12" t="s">
        <v>3266</v>
      </c>
      <c r="S12" s="12"/>
      <c r="T12" s="12" t="s">
        <v>3269</v>
      </c>
    </row>
    <row r="13" spans="1:20" ht="28" x14ac:dyDescent="0.35">
      <c r="A13" s="12" t="s">
        <v>268</v>
      </c>
      <c r="B13" s="12" t="s">
        <v>269</v>
      </c>
      <c r="C13" s="12" t="s">
        <v>122</v>
      </c>
      <c r="D13" s="12" t="s">
        <v>33</v>
      </c>
      <c r="E13" s="12"/>
      <c r="F13" s="28" t="s">
        <v>202</v>
      </c>
      <c r="G13" s="28" t="s">
        <v>229</v>
      </c>
      <c r="H13" s="12" t="s">
        <v>204</v>
      </c>
      <c r="I13" s="12" t="s">
        <v>53</v>
      </c>
      <c r="J13" s="12" t="s">
        <v>54</v>
      </c>
      <c r="K13" s="12" t="s">
        <v>228</v>
      </c>
      <c r="L13" s="12" t="s">
        <v>198</v>
      </c>
      <c r="M13" s="12" t="s">
        <v>270</v>
      </c>
      <c r="N13" s="12" t="s">
        <v>261</v>
      </c>
      <c r="O13" s="12" t="s">
        <v>262</v>
      </c>
      <c r="P13" s="12"/>
      <c r="Q13" s="12"/>
      <c r="R13" s="12" t="s">
        <v>3270</v>
      </c>
      <c r="S13" s="12" t="s">
        <v>3271</v>
      </c>
      <c r="T13" s="12" t="s">
        <v>3272</v>
      </c>
    </row>
    <row r="14" spans="1:20" ht="28" x14ac:dyDescent="0.35">
      <c r="A14" s="12" t="s">
        <v>271</v>
      </c>
      <c r="B14" s="12" t="s">
        <v>272</v>
      </c>
      <c r="C14" s="12" t="s">
        <v>122</v>
      </c>
      <c r="D14" s="12" t="s">
        <v>33</v>
      </c>
      <c r="E14" s="12"/>
      <c r="F14" s="28" t="s">
        <v>202</v>
      </c>
      <c r="G14" s="28" t="s">
        <v>229</v>
      </c>
      <c r="H14" s="12" t="s">
        <v>204</v>
      </c>
      <c r="I14" s="12" t="s">
        <v>53</v>
      </c>
      <c r="J14" s="12" t="s">
        <v>54</v>
      </c>
      <c r="K14" s="12" t="s">
        <v>308</v>
      </c>
      <c r="L14" s="12" t="s">
        <v>259</v>
      </c>
      <c r="M14" s="12" t="s">
        <v>273</v>
      </c>
      <c r="N14" s="12" t="s">
        <v>261</v>
      </c>
      <c r="O14" s="12" t="s">
        <v>262</v>
      </c>
      <c r="P14" s="12"/>
      <c r="Q14" s="12"/>
      <c r="R14" s="12" t="s">
        <v>3273</v>
      </c>
      <c r="S14" s="12"/>
      <c r="T14" s="12" t="s">
        <v>3274</v>
      </c>
    </row>
    <row r="15" spans="1:20" ht="56" x14ac:dyDescent="0.35">
      <c r="A15" s="12" t="s">
        <v>274</v>
      </c>
      <c r="B15" s="12" t="s">
        <v>275</v>
      </c>
      <c r="C15" s="12" t="s">
        <v>122</v>
      </c>
      <c r="D15" s="12" t="s">
        <v>33</v>
      </c>
      <c r="E15" s="12"/>
      <c r="F15" s="28" t="s">
        <v>202</v>
      </c>
      <c r="G15" s="28" t="s">
        <v>279</v>
      </c>
      <c r="H15" s="12" t="s">
        <v>204</v>
      </c>
      <c r="I15" s="12" t="s">
        <v>61</v>
      </c>
      <c r="J15" s="12" t="s">
        <v>62</v>
      </c>
      <c r="K15" s="12" t="s">
        <v>228</v>
      </c>
      <c r="L15" s="12" t="s">
        <v>198</v>
      </c>
      <c r="M15" s="12" t="s">
        <v>276</v>
      </c>
      <c r="N15" s="12" t="s">
        <v>277</v>
      </c>
      <c r="O15" s="12" t="s">
        <v>278</v>
      </c>
      <c r="P15" s="12"/>
      <c r="Q15" s="12"/>
      <c r="R15" s="12" t="s">
        <v>3250</v>
      </c>
      <c r="S15" s="12" t="s">
        <v>3275</v>
      </c>
      <c r="T15" s="12" t="s">
        <v>3276</v>
      </c>
    </row>
    <row r="16" spans="1:20" x14ac:dyDescent="0.35">
      <c r="A16" s="12" t="s">
        <v>280</v>
      </c>
      <c r="B16" s="12" t="s">
        <v>281</v>
      </c>
      <c r="C16" s="12" t="s">
        <v>122</v>
      </c>
      <c r="D16" s="12" t="s">
        <v>33</v>
      </c>
      <c r="E16" s="12"/>
      <c r="F16" s="28" t="s">
        <v>209</v>
      </c>
      <c r="G16" s="28" t="s">
        <v>284</v>
      </c>
      <c r="H16" s="12" t="s">
        <v>285</v>
      </c>
      <c r="I16" s="12" t="s">
        <v>57</v>
      </c>
      <c r="J16" s="12" t="s">
        <v>58</v>
      </c>
      <c r="K16" s="12" t="s">
        <v>228</v>
      </c>
      <c r="L16" s="12" t="s">
        <v>198</v>
      </c>
      <c r="M16" s="12" t="s">
        <v>282</v>
      </c>
      <c r="N16" s="12" t="s">
        <v>283</v>
      </c>
      <c r="O16" s="12" t="s">
        <v>278</v>
      </c>
      <c r="P16" s="12"/>
      <c r="Q16" s="12"/>
      <c r="R16" s="12"/>
      <c r="S16" s="12" t="s">
        <v>3277</v>
      </c>
      <c r="T16" s="12" t="s">
        <v>3278</v>
      </c>
    </row>
    <row r="17" spans="1:20" x14ac:dyDescent="0.35">
      <c r="A17" s="12" t="s">
        <v>286</v>
      </c>
      <c r="B17" s="12" t="s">
        <v>287</v>
      </c>
      <c r="C17" s="12" t="s">
        <v>122</v>
      </c>
      <c r="D17" s="12" t="s">
        <v>33</v>
      </c>
      <c r="E17" s="12"/>
      <c r="F17" s="28" t="s">
        <v>209</v>
      </c>
      <c r="G17" s="28" t="s">
        <v>291</v>
      </c>
      <c r="H17" s="12" t="s">
        <v>292</v>
      </c>
      <c r="I17" s="12" t="s">
        <v>53</v>
      </c>
      <c r="J17" s="12" t="s">
        <v>54</v>
      </c>
      <c r="K17" s="12" t="s">
        <v>228</v>
      </c>
      <c r="L17" s="12" t="s">
        <v>198</v>
      </c>
      <c r="M17" s="12" t="s">
        <v>288</v>
      </c>
      <c r="N17" s="12" t="s">
        <v>289</v>
      </c>
      <c r="O17" s="12" t="s">
        <v>290</v>
      </c>
      <c r="P17" s="12"/>
      <c r="Q17" s="12"/>
      <c r="R17" s="12"/>
      <c r="S17" s="12" t="s">
        <v>3279</v>
      </c>
      <c r="T17" s="12" t="s">
        <v>3280</v>
      </c>
    </row>
    <row r="18" spans="1:20" x14ac:dyDescent="0.35">
      <c r="A18" s="12" t="s">
        <v>293</v>
      </c>
      <c r="B18" s="12" t="s">
        <v>294</v>
      </c>
      <c r="C18" s="12" t="s">
        <v>122</v>
      </c>
      <c r="D18" s="12" t="s">
        <v>33</v>
      </c>
      <c r="E18" s="12"/>
      <c r="F18" s="28" t="s">
        <v>209</v>
      </c>
      <c r="G18" s="28" t="s">
        <v>297</v>
      </c>
      <c r="H18" s="12" t="s">
        <v>298</v>
      </c>
      <c r="I18" s="12" t="s">
        <v>67</v>
      </c>
      <c r="J18" s="12" t="s">
        <v>68</v>
      </c>
      <c r="K18" s="12" t="s">
        <v>228</v>
      </c>
      <c r="L18" s="12" t="s">
        <v>198</v>
      </c>
      <c r="M18" s="12" t="s">
        <v>295</v>
      </c>
      <c r="N18" s="12" t="s">
        <v>296</v>
      </c>
      <c r="O18" s="12" t="s">
        <v>290</v>
      </c>
      <c r="P18" s="12"/>
      <c r="Q18" s="12"/>
      <c r="R18" s="12"/>
      <c r="S18" s="12"/>
      <c r="T18" s="12" t="s">
        <v>3281</v>
      </c>
    </row>
    <row r="19" spans="1:20" ht="56" x14ac:dyDescent="0.35">
      <c r="A19" s="12" t="s">
        <v>299</v>
      </c>
      <c r="B19" s="12" t="s">
        <v>300</v>
      </c>
      <c r="C19" s="12" t="s">
        <v>122</v>
      </c>
      <c r="D19" s="12" t="s">
        <v>33</v>
      </c>
      <c r="E19" s="12"/>
      <c r="F19" s="28" t="s">
        <v>202</v>
      </c>
      <c r="G19" s="28" t="s">
        <v>303</v>
      </c>
      <c r="H19" s="12" t="s">
        <v>204</v>
      </c>
      <c r="I19" s="12" t="s">
        <v>55</v>
      </c>
      <c r="J19" s="12" t="s">
        <v>56</v>
      </c>
      <c r="K19" s="12" t="s">
        <v>331</v>
      </c>
      <c r="L19" s="12" t="s">
        <v>239</v>
      </c>
      <c r="M19" s="12" t="s">
        <v>301</v>
      </c>
      <c r="N19" s="12" t="s">
        <v>302</v>
      </c>
      <c r="O19" s="12" t="s">
        <v>290</v>
      </c>
      <c r="P19" s="12"/>
      <c r="Q19" s="12"/>
      <c r="R19" s="12" t="s">
        <v>3250</v>
      </c>
      <c r="S19" s="12"/>
      <c r="T19" s="12" t="s">
        <v>3282</v>
      </c>
    </row>
    <row r="20" spans="1:20" ht="28" x14ac:dyDescent="0.35">
      <c r="A20" s="12" t="s">
        <v>304</v>
      </c>
      <c r="B20" s="12" t="s">
        <v>305</v>
      </c>
      <c r="C20" s="12" t="s">
        <v>122</v>
      </c>
      <c r="D20" s="12" t="s">
        <v>33</v>
      </c>
      <c r="E20" s="12"/>
      <c r="F20" s="28" t="s">
        <v>202</v>
      </c>
      <c r="G20" s="28" t="s">
        <v>229</v>
      </c>
      <c r="H20" s="12" t="s">
        <v>204</v>
      </c>
      <c r="I20" s="12" t="s">
        <v>53</v>
      </c>
      <c r="J20" s="12" t="s">
        <v>54</v>
      </c>
      <c r="K20" s="12" t="s">
        <v>228</v>
      </c>
      <c r="L20" s="12" t="s">
        <v>198</v>
      </c>
      <c r="M20" s="12" t="s">
        <v>306</v>
      </c>
      <c r="N20" s="12" t="s">
        <v>307</v>
      </c>
      <c r="O20" s="12" t="s">
        <v>308</v>
      </c>
      <c r="P20" s="12"/>
      <c r="Q20" s="12"/>
      <c r="R20" s="12" t="s">
        <v>3250</v>
      </c>
      <c r="S20" s="12"/>
      <c r="T20" s="12" t="s">
        <v>3283</v>
      </c>
    </row>
    <row r="21" spans="1:20" ht="28" x14ac:dyDescent="0.35">
      <c r="A21" s="12" t="s">
        <v>309</v>
      </c>
      <c r="B21" s="12" t="s">
        <v>310</v>
      </c>
      <c r="C21" s="12" t="s">
        <v>122</v>
      </c>
      <c r="D21" s="12" t="s">
        <v>33</v>
      </c>
      <c r="E21" s="12"/>
      <c r="F21" s="28" t="s">
        <v>202</v>
      </c>
      <c r="G21" s="28" t="s">
        <v>313</v>
      </c>
      <c r="H21" s="12" t="s">
        <v>204</v>
      </c>
      <c r="I21" s="12" t="s">
        <v>59</v>
      </c>
      <c r="J21" s="12" t="s">
        <v>60</v>
      </c>
      <c r="K21" s="12" t="s">
        <v>308</v>
      </c>
      <c r="L21" s="12" t="s">
        <v>259</v>
      </c>
      <c r="M21" s="12" t="s">
        <v>311</v>
      </c>
      <c r="N21" s="12" t="s">
        <v>312</v>
      </c>
      <c r="O21" s="12" t="s">
        <v>308</v>
      </c>
      <c r="P21" s="12"/>
      <c r="Q21" s="12"/>
      <c r="R21" s="12" t="s">
        <v>3250</v>
      </c>
      <c r="S21" s="12"/>
      <c r="T21" s="12" t="s">
        <v>3284</v>
      </c>
    </row>
    <row r="22" spans="1:20" ht="28" x14ac:dyDescent="0.35">
      <c r="A22" s="12" t="s">
        <v>314</v>
      </c>
      <c r="B22" s="12" t="s">
        <v>315</v>
      </c>
      <c r="C22" s="12" t="s">
        <v>122</v>
      </c>
      <c r="D22" s="12" t="s">
        <v>33</v>
      </c>
      <c r="E22" s="12"/>
      <c r="F22" s="28" t="s">
        <v>202</v>
      </c>
      <c r="G22" s="28" t="s">
        <v>318</v>
      </c>
      <c r="H22" s="12" t="s">
        <v>204</v>
      </c>
      <c r="I22" s="12" t="s">
        <v>61</v>
      </c>
      <c r="J22" s="12" t="s">
        <v>62</v>
      </c>
      <c r="K22" s="12" t="s">
        <v>228</v>
      </c>
      <c r="L22" s="12" t="s">
        <v>198</v>
      </c>
      <c r="M22" s="12" t="s">
        <v>316</v>
      </c>
      <c r="N22" s="12" t="s">
        <v>317</v>
      </c>
      <c r="O22" s="12" t="s">
        <v>308</v>
      </c>
      <c r="P22" s="12"/>
      <c r="Q22" s="12"/>
      <c r="R22" s="12" t="s">
        <v>3250</v>
      </c>
      <c r="S22" s="12"/>
      <c r="T22" s="12" t="s">
        <v>3285</v>
      </c>
    </row>
    <row r="23" spans="1:20" ht="28" x14ac:dyDescent="0.35">
      <c r="A23" s="12" t="s">
        <v>319</v>
      </c>
      <c r="B23" s="12" t="s">
        <v>320</v>
      </c>
      <c r="C23" s="12" t="s">
        <v>122</v>
      </c>
      <c r="D23" s="12" t="s">
        <v>33</v>
      </c>
      <c r="E23" s="12"/>
      <c r="F23" s="28" t="s">
        <v>202</v>
      </c>
      <c r="G23" s="28" t="s">
        <v>313</v>
      </c>
      <c r="H23" s="12" t="s">
        <v>204</v>
      </c>
      <c r="I23" s="12" t="s">
        <v>59</v>
      </c>
      <c r="J23" s="12" t="s">
        <v>60</v>
      </c>
      <c r="K23" s="12" t="s">
        <v>308</v>
      </c>
      <c r="L23" s="12" t="s">
        <v>259</v>
      </c>
      <c r="M23" s="12" t="s">
        <v>321</v>
      </c>
      <c r="N23" s="12" t="s">
        <v>322</v>
      </c>
      <c r="O23" s="12" t="s">
        <v>308</v>
      </c>
      <c r="P23" s="12"/>
      <c r="Q23" s="12"/>
      <c r="R23" s="12" t="s">
        <v>3250</v>
      </c>
      <c r="S23" s="12"/>
      <c r="T23" s="12" t="s">
        <v>3286</v>
      </c>
    </row>
    <row r="24" spans="1:20" x14ac:dyDescent="0.35">
      <c r="A24" s="12" t="s">
        <v>323</v>
      </c>
      <c r="B24" s="12" t="s">
        <v>324</v>
      </c>
      <c r="C24" s="12" t="s">
        <v>122</v>
      </c>
      <c r="D24" s="12" t="s">
        <v>33</v>
      </c>
      <c r="E24" s="12"/>
      <c r="F24" s="28" t="s">
        <v>209</v>
      </c>
      <c r="G24" s="28" t="s">
        <v>325</v>
      </c>
      <c r="H24" s="12" t="s">
        <v>326</v>
      </c>
      <c r="I24" s="12" t="s">
        <v>53</v>
      </c>
      <c r="J24" s="12" t="s">
        <v>54</v>
      </c>
      <c r="K24" s="12" t="s">
        <v>228</v>
      </c>
      <c r="L24" s="12" t="s">
        <v>198</v>
      </c>
      <c r="M24" s="12" t="s">
        <v>306</v>
      </c>
      <c r="N24" s="12" t="s">
        <v>307</v>
      </c>
      <c r="O24" s="12" t="s">
        <v>308</v>
      </c>
      <c r="P24" s="12"/>
      <c r="Q24" s="12"/>
      <c r="R24" s="12"/>
      <c r="S24" s="12" t="s">
        <v>3287</v>
      </c>
      <c r="T24" s="12" t="s">
        <v>3288</v>
      </c>
    </row>
    <row r="25" spans="1:20" ht="28" x14ac:dyDescent="0.35">
      <c r="A25" s="12" t="s">
        <v>327</v>
      </c>
      <c r="B25" s="12" t="s">
        <v>328</v>
      </c>
      <c r="C25" s="12" t="s">
        <v>122</v>
      </c>
      <c r="D25" s="12" t="s">
        <v>33</v>
      </c>
      <c r="E25" s="12"/>
      <c r="F25" s="28" t="s">
        <v>202</v>
      </c>
      <c r="G25" s="28" t="s">
        <v>229</v>
      </c>
      <c r="H25" s="12" t="s">
        <v>204</v>
      </c>
      <c r="I25" s="12" t="s">
        <v>53</v>
      </c>
      <c r="J25" s="12" t="s">
        <v>54</v>
      </c>
      <c r="K25" s="12" t="s">
        <v>228</v>
      </c>
      <c r="L25" s="12" t="s">
        <v>198</v>
      </c>
      <c r="M25" s="12" t="s">
        <v>329</v>
      </c>
      <c r="N25" s="12" t="s">
        <v>330</v>
      </c>
      <c r="O25" s="12" t="s">
        <v>331</v>
      </c>
      <c r="P25" s="12"/>
      <c r="Q25" s="12"/>
      <c r="R25" s="12" t="s">
        <v>3250</v>
      </c>
      <c r="S25" s="12"/>
      <c r="T25" s="12" t="s">
        <v>3289</v>
      </c>
    </row>
    <row r="26" spans="1:20" ht="56" x14ac:dyDescent="0.35">
      <c r="A26" s="12" t="s">
        <v>332</v>
      </c>
      <c r="B26" s="12" t="s">
        <v>333</v>
      </c>
      <c r="C26" s="12" t="s">
        <v>122</v>
      </c>
      <c r="D26" s="12" t="s">
        <v>33</v>
      </c>
      <c r="E26" s="12"/>
      <c r="F26" s="28" t="s">
        <v>202</v>
      </c>
      <c r="G26" s="28" t="s">
        <v>336</v>
      </c>
      <c r="H26" s="12" t="s">
        <v>204</v>
      </c>
      <c r="I26" s="12" t="s">
        <v>53</v>
      </c>
      <c r="J26" s="12" t="s">
        <v>54</v>
      </c>
      <c r="K26" s="12" t="s">
        <v>308</v>
      </c>
      <c r="L26" s="12" t="s">
        <v>259</v>
      </c>
      <c r="M26" s="12" t="s">
        <v>334</v>
      </c>
      <c r="N26" s="12" t="s">
        <v>335</v>
      </c>
      <c r="O26" s="12" t="s">
        <v>331</v>
      </c>
      <c r="P26" s="12"/>
      <c r="Q26" s="12"/>
      <c r="R26" s="12" t="s">
        <v>3250</v>
      </c>
      <c r="S26" s="12" t="s">
        <v>3290</v>
      </c>
      <c r="T26" s="12" t="s">
        <v>3291</v>
      </c>
    </row>
    <row r="27" spans="1:20" ht="56" x14ac:dyDescent="0.35">
      <c r="A27" s="12" t="s">
        <v>2401</v>
      </c>
      <c r="B27" s="18" t="s">
        <v>2402</v>
      </c>
      <c r="C27" s="12" t="s">
        <v>122</v>
      </c>
      <c r="D27" s="12" t="s">
        <v>33</v>
      </c>
      <c r="E27" s="12"/>
      <c r="F27" s="28" t="s">
        <v>202</v>
      </c>
      <c r="G27" s="28" t="s">
        <v>2406</v>
      </c>
      <c r="H27" s="12" t="s">
        <v>204</v>
      </c>
      <c r="I27" s="12" t="s">
        <v>57</v>
      </c>
      <c r="J27" s="12" t="s">
        <v>58</v>
      </c>
      <c r="K27" s="12" t="s">
        <v>308</v>
      </c>
      <c r="L27" s="12" t="s">
        <v>259</v>
      </c>
      <c r="M27" s="12" t="s">
        <v>2404</v>
      </c>
      <c r="N27" s="12" t="s">
        <v>2405</v>
      </c>
      <c r="O27" s="12" t="s">
        <v>331</v>
      </c>
      <c r="P27" s="12" t="s">
        <v>3330</v>
      </c>
      <c r="Q27" s="23" t="s">
        <v>4156</v>
      </c>
      <c r="R27" s="18" t="s">
        <v>3293</v>
      </c>
      <c r="S27" s="12" t="s">
        <v>3294</v>
      </c>
      <c r="T27" s="12" t="s">
        <v>3295</v>
      </c>
    </row>
    <row r="28" spans="1:20" ht="42" x14ac:dyDescent="0.35">
      <c r="A28" s="12" t="s">
        <v>337</v>
      </c>
      <c r="B28" s="12" t="s">
        <v>338</v>
      </c>
      <c r="C28" s="12" t="s">
        <v>122</v>
      </c>
      <c r="D28" s="12" t="s">
        <v>33</v>
      </c>
      <c r="E28" s="12"/>
      <c r="F28" s="28" t="s">
        <v>202</v>
      </c>
      <c r="G28" s="28" t="s">
        <v>342</v>
      </c>
      <c r="H28" s="12" t="s">
        <v>204</v>
      </c>
      <c r="I28" s="12" t="s">
        <v>63</v>
      </c>
      <c r="J28" s="12" t="s">
        <v>64</v>
      </c>
      <c r="K28" s="12" t="s">
        <v>228</v>
      </c>
      <c r="L28" s="12" t="s">
        <v>198</v>
      </c>
      <c r="M28" s="12" t="s">
        <v>339</v>
      </c>
      <c r="N28" s="12" t="s">
        <v>340</v>
      </c>
      <c r="O28" s="12" t="s">
        <v>341</v>
      </c>
      <c r="P28" s="12"/>
      <c r="Q28" s="12"/>
      <c r="R28" s="12" t="s">
        <v>3250</v>
      </c>
      <c r="S28" s="12"/>
      <c r="T28" s="12" t="s">
        <v>3296</v>
      </c>
    </row>
    <row r="29" spans="1:20" ht="28" x14ac:dyDescent="0.35">
      <c r="A29" s="12" t="s">
        <v>343</v>
      </c>
      <c r="B29" s="12" t="s">
        <v>344</v>
      </c>
      <c r="C29" s="12" t="s">
        <v>122</v>
      </c>
      <c r="D29" s="12" t="s">
        <v>33</v>
      </c>
      <c r="E29" s="12"/>
      <c r="F29" s="28" t="s">
        <v>202</v>
      </c>
      <c r="G29" s="28" t="s">
        <v>229</v>
      </c>
      <c r="H29" s="12" t="s">
        <v>204</v>
      </c>
      <c r="I29" s="12" t="s">
        <v>53</v>
      </c>
      <c r="J29" s="12" t="s">
        <v>54</v>
      </c>
      <c r="K29" s="12" t="s">
        <v>228</v>
      </c>
      <c r="L29" s="12" t="s">
        <v>198</v>
      </c>
      <c r="M29" s="12" t="s">
        <v>345</v>
      </c>
      <c r="N29" s="12" t="s">
        <v>346</v>
      </c>
      <c r="O29" s="12" t="s">
        <v>341</v>
      </c>
      <c r="P29" s="12"/>
      <c r="Q29" s="12"/>
      <c r="R29" s="12" t="s">
        <v>3250</v>
      </c>
      <c r="S29" s="12" t="s">
        <v>3297</v>
      </c>
      <c r="T29" s="12" t="s">
        <v>3298</v>
      </c>
    </row>
    <row r="30" spans="1:20" x14ac:dyDescent="0.35">
      <c r="A30" s="12" t="s">
        <v>347</v>
      </c>
      <c r="B30" s="12" t="s">
        <v>348</v>
      </c>
      <c r="C30" s="12" t="s">
        <v>122</v>
      </c>
      <c r="D30" s="12" t="s">
        <v>33</v>
      </c>
      <c r="E30" s="12"/>
      <c r="F30" s="28" t="s">
        <v>209</v>
      </c>
      <c r="G30" s="28" t="s">
        <v>351</v>
      </c>
      <c r="H30" s="12" t="s">
        <v>352</v>
      </c>
      <c r="I30" s="12" t="s">
        <v>53</v>
      </c>
      <c r="J30" s="12" t="s">
        <v>54</v>
      </c>
      <c r="K30" s="12" t="s">
        <v>228</v>
      </c>
      <c r="L30" s="12" t="s">
        <v>198</v>
      </c>
      <c r="M30" s="12" t="s">
        <v>349</v>
      </c>
      <c r="N30" s="12" t="s">
        <v>350</v>
      </c>
      <c r="O30" s="12" t="s">
        <v>341</v>
      </c>
      <c r="P30" s="12"/>
      <c r="Q30" s="12"/>
      <c r="R30" s="12"/>
      <c r="S30" s="12"/>
      <c r="T30" s="12" t="s">
        <v>3299</v>
      </c>
    </row>
    <row r="31" spans="1:20" ht="28" x14ac:dyDescent="0.35">
      <c r="A31" s="12" t="s">
        <v>353</v>
      </c>
      <c r="B31" s="12" t="s">
        <v>354</v>
      </c>
      <c r="C31" s="12" t="s">
        <v>122</v>
      </c>
      <c r="D31" s="12" t="s">
        <v>33</v>
      </c>
      <c r="E31" s="12"/>
      <c r="F31" s="28" t="s">
        <v>202</v>
      </c>
      <c r="G31" s="28" t="s">
        <v>318</v>
      </c>
      <c r="H31" s="12" t="s">
        <v>204</v>
      </c>
      <c r="I31" s="12" t="s">
        <v>61</v>
      </c>
      <c r="J31" s="12" t="s">
        <v>62</v>
      </c>
      <c r="K31" s="12" t="s">
        <v>308</v>
      </c>
      <c r="L31" s="12" t="s">
        <v>259</v>
      </c>
      <c r="M31" s="12" t="s">
        <v>355</v>
      </c>
      <c r="N31" s="12" t="s">
        <v>356</v>
      </c>
      <c r="O31" s="12" t="s">
        <v>341</v>
      </c>
      <c r="P31" s="12"/>
      <c r="Q31" s="12"/>
      <c r="R31" s="12" t="s">
        <v>3250</v>
      </c>
      <c r="S31" s="12"/>
      <c r="T31" s="12" t="s">
        <v>3300</v>
      </c>
    </row>
    <row r="32" spans="1:20" x14ac:dyDescent="0.35">
      <c r="A32" s="12" t="s">
        <v>357</v>
      </c>
      <c r="B32" s="12" t="s">
        <v>358</v>
      </c>
      <c r="C32" s="12" t="s">
        <v>122</v>
      </c>
      <c r="D32" s="12" t="s">
        <v>33</v>
      </c>
      <c r="E32" s="12"/>
      <c r="F32" s="28" t="s">
        <v>209</v>
      </c>
      <c r="G32" s="28" t="s">
        <v>361</v>
      </c>
      <c r="H32" s="12" t="s">
        <v>362</v>
      </c>
      <c r="I32" s="12" t="s">
        <v>55</v>
      </c>
      <c r="J32" s="12" t="s">
        <v>56</v>
      </c>
      <c r="K32" s="12" t="s">
        <v>228</v>
      </c>
      <c r="L32" s="12" t="s">
        <v>198</v>
      </c>
      <c r="M32" s="12" t="s">
        <v>359</v>
      </c>
      <c r="N32" s="12" t="s">
        <v>360</v>
      </c>
      <c r="O32" s="12" t="s">
        <v>341</v>
      </c>
      <c r="P32" s="12"/>
      <c r="Q32" s="12"/>
      <c r="R32" s="12"/>
      <c r="S32" s="12"/>
      <c r="T32" s="12" t="s">
        <v>3301</v>
      </c>
    </row>
    <row r="33" spans="1:20" ht="28" x14ac:dyDescent="0.35">
      <c r="A33" s="12" t="s">
        <v>363</v>
      </c>
      <c r="B33" s="12" t="s">
        <v>364</v>
      </c>
      <c r="C33" s="12" t="s">
        <v>122</v>
      </c>
      <c r="D33" s="12" t="s">
        <v>33</v>
      </c>
      <c r="E33" s="12"/>
      <c r="F33" s="28" t="s">
        <v>202</v>
      </c>
      <c r="G33" s="28" t="s">
        <v>229</v>
      </c>
      <c r="H33" s="12" t="s">
        <v>204</v>
      </c>
      <c r="I33" s="12" t="s">
        <v>53</v>
      </c>
      <c r="J33" s="12" t="s">
        <v>54</v>
      </c>
      <c r="K33" s="12" t="s">
        <v>308</v>
      </c>
      <c r="L33" s="12" t="s">
        <v>259</v>
      </c>
      <c r="M33" s="12" t="s">
        <v>365</v>
      </c>
      <c r="N33" s="12" t="s">
        <v>366</v>
      </c>
      <c r="O33" s="12" t="s">
        <v>341</v>
      </c>
      <c r="P33" s="12"/>
      <c r="Q33" s="12"/>
      <c r="R33" s="12" t="s">
        <v>3250</v>
      </c>
      <c r="S33" s="12" t="s">
        <v>3302</v>
      </c>
      <c r="T33" s="12" t="s">
        <v>3303</v>
      </c>
    </row>
    <row r="34" spans="1:20" ht="28" x14ac:dyDescent="0.35">
      <c r="A34" s="12" t="s">
        <v>367</v>
      </c>
      <c r="B34" s="12" t="s">
        <v>368</v>
      </c>
      <c r="C34" s="12" t="s">
        <v>122</v>
      </c>
      <c r="D34" s="12" t="s">
        <v>33</v>
      </c>
      <c r="E34" s="12"/>
      <c r="F34" s="28" t="s">
        <v>202</v>
      </c>
      <c r="G34" s="28" t="s">
        <v>371</v>
      </c>
      <c r="H34" s="12" t="s">
        <v>204</v>
      </c>
      <c r="I34" s="12" t="s">
        <v>55</v>
      </c>
      <c r="J34" s="12" t="s">
        <v>56</v>
      </c>
      <c r="K34" s="12" t="s">
        <v>228</v>
      </c>
      <c r="L34" s="12" t="s">
        <v>198</v>
      </c>
      <c r="M34" s="12" t="s">
        <v>369</v>
      </c>
      <c r="N34" s="12" t="s">
        <v>370</v>
      </c>
      <c r="O34" s="12" t="s">
        <v>341</v>
      </c>
      <c r="P34" s="12"/>
      <c r="Q34" s="12"/>
      <c r="R34" s="12" t="s">
        <v>3250</v>
      </c>
      <c r="S34" s="12"/>
      <c r="T34" s="12" t="s">
        <v>3304</v>
      </c>
    </row>
    <row r="35" spans="1:20" ht="28" x14ac:dyDescent="0.35">
      <c r="A35" s="12" t="s">
        <v>372</v>
      </c>
      <c r="B35" s="12" t="s">
        <v>373</v>
      </c>
      <c r="C35" s="12" t="s">
        <v>122</v>
      </c>
      <c r="D35" s="12" t="s">
        <v>33</v>
      </c>
      <c r="E35" s="12"/>
      <c r="F35" s="28" t="s">
        <v>202</v>
      </c>
      <c r="G35" s="28" t="s">
        <v>375</v>
      </c>
      <c r="H35" s="12" t="s">
        <v>204</v>
      </c>
      <c r="I35" s="12" t="s">
        <v>69</v>
      </c>
      <c r="J35" s="12" t="s">
        <v>70</v>
      </c>
      <c r="K35" s="12" t="s">
        <v>228</v>
      </c>
      <c r="L35" s="12" t="s">
        <v>198</v>
      </c>
      <c r="M35" s="12" t="s">
        <v>369</v>
      </c>
      <c r="N35" s="12" t="s">
        <v>374</v>
      </c>
      <c r="O35" s="12" t="s">
        <v>341</v>
      </c>
      <c r="P35" s="12"/>
      <c r="Q35" s="12"/>
      <c r="R35" s="12" t="s">
        <v>3305</v>
      </c>
      <c r="S35" s="12"/>
      <c r="T35" s="12" t="s">
        <v>3306</v>
      </c>
    </row>
    <row r="36" spans="1:20" ht="56" x14ac:dyDescent="0.35">
      <c r="A36" s="12" t="s">
        <v>376</v>
      </c>
      <c r="B36" s="12" t="s">
        <v>377</v>
      </c>
      <c r="C36" s="12" t="s">
        <v>122</v>
      </c>
      <c r="D36" s="12" t="s">
        <v>33</v>
      </c>
      <c r="E36" s="12"/>
      <c r="F36" s="28" t="s">
        <v>202</v>
      </c>
      <c r="G36" s="28" t="s">
        <v>380</v>
      </c>
      <c r="H36" s="12" t="s">
        <v>204</v>
      </c>
      <c r="I36" s="12" t="s">
        <v>53</v>
      </c>
      <c r="J36" s="12" t="s">
        <v>54</v>
      </c>
      <c r="K36" s="12" t="s">
        <v>331</v>
      </c>
      <c r="L36" s="12" t="s">
        <v>239</v>
      </c>
      <c r="M36" s="12" t="s">
        <v>378</v>
      </c>
      <c r="N36" s="12" t="s">
        <v>379</v>
      </c>
      <c r="O36" s="12" t="s">
        <v>341</v>
      </c>
      <c r="P36" s="12"/>
      <c r="Q36" s="12"/>
      <c r="R36" s="12" t="s">
        <v>3250</v>
      </c>
      <c r="S36" s="12"/>
      <c r="T36" s="12" t="s">
        <v>3307</v>
      </c>
    </row>
    <row r="37" spans="1:20" ht="28" x14ac:dyDescent="0.35">
      <c r="A37" s="12" t="s">
        <v>381</v>
      </c>
      <c r="B37" s="12" t="s">
        <v>382</v>
      </c>
      <c r="C37" s="12" t="s">
        <v>122</v>
      </c>
      <c r="D37" s="12" t="s">
        <v>33</v>
      </c>
      <c r="E37" s="12"/>
      <c r="F37" s="28" t="s">
        <v>202</v>
      </c>
      <c r="G37" s="28" t="s">
        <v>229</v>
      </c>
      <c r="H37" s="12" t="s">
        <v>204</v>
      </c>
      <c r="I37" s="12" t="s">
        <v>53</v>
      </c>
      <c r="J37" s="12" t="s">
        <v>54</v>
      </c>
      <c r="K37" s="12" t="s">
        <v>308</v>
      </c>
      <c r="L37" s="12" t="s">
        <v>259</v>
      </c>
      <c r="M37" s="12" t="s">
        <v>369</v>
      </c>
      <c r="N37" s="12" t="s">
        <v>383</v>
      </c>
      <c r="O37" s="12" t="s">
        <v>341</v>
      </c>
      <c r="P37" s="12"/>
      <c r="Q37" s="12"/>
      <c r="R37" s="12" t="s">
        <v>3308</v>
      </c>
      <c r="S37" s="12" t="s">
        <v>3309</v>
      </c>
      <c r="T37" s="12" t="s">
        <v>3310</v>
      </c>
    </row>
    <row r="38" spans="1:20" ht="28" x14ac:dyDescent="0.35">
      <c r="A38" s="12" t="s">
        <v>384</v>
      </c>
      <c r="B38" s="12" t="s">
        <v>385</v>
      </c>
      <c r="C38" s="12" t="s">
        <v>122</v>
      </c>
      <c r="D38" s="12" t="s">
        <v>33</v>
      </c>
      <c r="E38" s="12"/>
      <c r="F38" s="28" t="s">
        <v>202</v>
      </c>
      <c r="G38" s="28" t="s">
        <v>388</v>
      </c>
      <c r="H38" s="12" t="s">
        <v>204</v>
      </c>
      <c r="I38" s="12" t="s">
        <v>55</v>
      </c>
      <c r="J38" s="12" t="s">
        <v>56</v>
      </c>
      <c r="K38" s="12" t="s">
        <v>430</v>
      </c>
      <c r="L38" s="12" t="s">
        <v>386</v>
      </c>
      <c r="M38" s="12" t="s">
        <v>369</v>
      </c>
      <c r="N38" s="12" t="s">
        <v>387</v>
      </c>
      <c r="O38" s="12" t="s">
        <v>341</v>
      </c>
      <c r="P38" s="12"/>
      <c r="Q38" s="12"/>
      <c r="R38" s="12" t="s">
        <v>3266</v>
      </c>
      <c r="S38" s="12" t="s">
        <v>3311</v>
      </c>
      <c r="T38" s="12" t="s">
        <v>3312</v>
      </c>
    </row>
    <row r="39" spans="1:20" ht="56" x14ac:dyDescent="0.35">
      <c r="A39" s="12" t="s">
        <v>389</v>
      </c>
      <c r="B39" s="12" t="s">
        <v>390</v>
      </c>
      <c r="C39" s="12" t="s">
        <v>122</v>
      </c>
      <c r="D39" s="12" t="s">
        <v>33</v>
      </c>
      <c r="E39" s="12"/>
      <c r="F39" s="28" t="s">
        <v>202</v>
      </c>
      <c r="G39" s="28" t="s">
        <v>394</v>
      </c>
      <c r="H39" s="12" t="s">
        <v>204</v>
      </c>
      <c r="I39" s="12" t="s">
        <v>71</v>
      </c>
      <c r="J39" s="12" t="s">
        <v>72</v>
      </c>
      <c r="K39" s="12" t="s">
        <v>228</v>
      </c>
      <c r="L39" s="12" t="s">
        <v>198</v>
      </c>
      <c r="M39" s="12" t="s">
        <v>391</v>
      </c>
      <c r="N39" s="12" t="s">
        <v>392</v>
      </c>
      <c r="O39" s="12" t="s">
        <v>393</v>
      </c>
      <c r="P39" s="12"/>
      <c r="Q39" s="12"/>
      <c r="R39" s="12" t="s">
        <v>3313</v>
      </c>
      <c r="S39" s="12" t="s">
        <v>3314</v>
      </c>
      <c r="T39" s="12" t="s">
        <v>3315</v>
      </c>
    </row>
    <row r="40" spans="1:20" ht="56" x14ac:dyDescent="0.35">
      <c r="A40" s="12" t="s">
        <v>395</v>
      </c>
      <c r="B40" s="12" t="s">
        <v>396</v>
      </c>
      <c r="C40" s="12" t="s">
        <v>122</v>
      </c>
      <c r="D40" s="12" t="s">
        <v>33</v>
      </c>
      <c r="E40" s="12"/>
      <c r="F40" s="28" t="s">
        <v>202</v>
      </c>
      <c r="G40" s="28" t="s">
        <v>400</v>
      </c>
      <c r="H40" s="12" t="s">
        <v>204</v>
      </c>
      <c r="I40" s="12" t="s">
        <v>57</v>
      </c>
      <c r="J40" s="12" t="s">
        <v>58</v>
      </c>
      <c r="K40" s="12" t="s">
        <v>331</v>
      </c>
      <c r="L40" s="12" t="s">
        <v>239</v>
      </c>
      <c r="M40" s="12" t="s">
        <v>397</v>
      </c>
      <c r="N40" s="12" t="s">
        <v>398</v>
      </c>
      <c r="O40" s="12" t="s">
        <v>399</v>
      </c>
      <c r="P40" s="12"/>
      <c r="Q40" s="12"/>
      <c r="R40" s="12" t="s">
        <v>3250</v>
      </c>
      <c r="S40" s="12" t="s">
        <v>3316</v>
      </c>
      <c r="T40" s="12" t="s">
        <v>3317</v>
      </c>
    </row>
    <row r="41" spans="1:20" ht="28" x14ac:dyDescent="0.35">
      <c r="A41" s="12" t="s">
        <v>401</v>
      </c>
      <c r="B41" s="12" t="s">
        <v>402</v>
      </c>
      <c r="C41" s="12" t="s">
        <v>122</v>
      </c>
      <c r="D41" s="12" t="s">
        <v>33</v>
      </c>
      <c r="E41" s="12"/>
      <c r="F41" s="28" t="s">
        <v>202</v>
      </c>
      <c r="G41" s="28" t="s">
        <v>229</v>
      </c>
      <c r="H41" s="12" t="s">
        <v>204</v>
      </c>
      <c r="I41" s="12" t="s">
        <v>53</v>
      </c>
      <c r="J41" s="12" t="s">
        <v>54</v>
      </c>
      <c r="K41" s="12" t="s">
        <v>308</v>
      </c>
      <c r="L41" s="12" t="s">
        <v>259</v>
      </c>
      <c r="M41" s="12" t="s">
        <v>403</v>
      </c>
      <c r="N41" s="12" t="s">
        <v>404</v>
      </c>
      <c r="O41" s="12" t="s">
        <v>399</v>
      </c>
      <c r="P41" s="12"/>
      <c r="Q41" s="12"/>
      <c r="R41" s="12" t="s">
        <v>3250</v>
      </c>
      <c r="S41" s="12"/>
      <c r="T41" s="12" t="s">
        <v>3318</v>
      </c>
    </row>
    <row r="42" spans="1:20" ht="28" x14ac:dyDescent="0.35">
      <c r="A42" s="12" t="s">
        <v>405</v>
      </c>
      <c r="B42" s="12" t="s">
        <v>406</v>
      </c>
      <c r="C42" s="12" t="s">
        <v>122</v>
      </c>
      <c r="D42" s="12" t="s">
        <v>33</v>
      </c>
      <c r="E42" s="12"/>
      <c r="F42" s="28" t="s">
        <v>202</v>
      </c>
      <c r="G42" s="28" t="s">
        <v>313</v>
      </c>
      <c r="H42" s="12" t="s">
        <v>204</v>
      </c>
      <c r="I42" s="12" t="s">
        <v>59</v>
      </c>
      <c r="J42" s="12" t="s">
        <v>60</v>
      </c>
      <c r="K42" s="12" t="s">
        <v>228</v>
      </c>
      <c r="L42" s="12" t="s">
        <v>198</v>
      </c>
      <c r="M42" s="12" t="s">
        <v>407</v>
      </c>
      <c r="N42" s="12" t="s">
        <v>408</v>
      </c>
      <c r="O42" s="12" t="s">
        <v>409</v>
      </c>
      <c r="P42" s="12"/>
      <c r="Q42" s="12"/>
      <c r="R42" s="12" t="s">
        <v>3250</v>
      </c>
      <c r="S42" s="12"/>
      <c r="T42" s="12" t="s">
        <v>3319</v>
      </c>
    </row>
    <row r="43" spans="1:20" ht="28" x14ac:dyDescent="0.35">
      <c r="A43" s="12" t="s">
        <v>410</v>
      </c>
      <c r="B43" s="12" t="s">
        <v>411</v>
      </c>
      <c r="C43" s="12" t="s">
        <v>122</v>
      </c>
      <c r="D43" s="12" t="s">
        <v>33</v>
      </c>
      <c r="E43" s="12"/>
      <c r="F43" s="28" t="s">
        <v>202</v>
      </c>
      <c r="G43" s="28" t="s">
        <v>414</v>
      </c>
      <c r="H43" s="12" t="s">
        <v>204</v>
      </c>
      <c r="I43" s="12" t="s">
        <v>57</v>
      </c>
      <c r="J43" s="12" t="s">
        <v>58</v>
      </c>
      <c r="K43" s="12" t="s">
        <v>228</v>
      </c>
      <c r="L43" s="12" t="s">
        <v>198</v>
      </c>
      <c r="M43" s="12" t="s">
        <v>412</v>
      </c>
      <c r="N43" s="12" t="s">
        <v>413</v>
      </c>
      <c r="O43" s="12" t="s">
        <v>409</v>
      </c>
      <c r="P43" s="12"/>
      <c r="Q43" s="12"/>
      <c r="R43" s="12" t="s">
        <v>3320</v>
      </c>
      <c r="S43" s="12" t="s">
        <v>3321</v>
      </c>
      <c r="T43" s="12" t="s">
        <v>3322</v>
      </c>
    </row>
    <row r="44" spans="1:20" ht="28" x14ac:dyDescent="0.35">
      <c r="A44" s="12" t="s">
        <v>2407</v>
      </c>
      <c r="B44" s="12" t="s">
        <v>2408</v>
      </c>
      <c r="C44" s="12" t="s">
        <v>122</v>
      </c>
      <c r="D44" s="12" t="s">
        <v>33</v>
      </c>
      <c r="E44" s="12" t="s">
        <v>2409</v>
      </c>
      <c r="F44" s="28" t="s">
        <v>202</v>
      </c>
      <c r="G44" s="28" t="s">
        <v>371</v>
      </c>
      <c r="H44" s="12" t="s">
        <v>204</v>
      </c>
      <c r="I44" s="12" t="s">
        <v>55</v>
      </c>
      <c r="J44" s="12" t="s">
        <v>56</v>
      </c>
      <c r="K44" s="12" t="s">
        <v>308</v>
      </c>
      <c r="L44" s="12" t="s">
        <v>259</v>
      </c>
      <c r="M44" s="12" t="s">
        <v>2410</v>
      </c>
      <c r="N44" s="12" t="s">
        <v>2411</v>
      </c>
      <c r="O44" s="12" t="s">
        <v>409</v>
      </c>
      <c r="P44" s="12"/>
      <c r="Q44" s="12"/>
      <c r="R44" s="12" t="s">
        <v>3250</v>
      </c>
      <c r="S44" s="12" t="s">
        <v>3323</v>
      </c>
      <c r="T44" s="12" t="s">
        <v>3324</v>
      </c>
    </row>
    <row r="45" spans="1:20" ht="42" x14ac:dyDescent="0.35">
      <c r="A45" s="12" t="s">
        <v>2412</v>
      </c>
      <c r="B45" s="12" t="s">
        <v>2413</v>
      </c>
      <c r="C45" s="12" t="s">
        <v>122</v>
      </c>
      <c r="D45" s="12" t="s">
        <v>33</v>
      </c>
      <c r="E45" s="12" t="s">
        <v>2414</v>
      </c>
      <c r="F45" s="28" t="s">
        <v>216</v>
      </c>
      <c r="G45" s="28" t="s">
        <v>2417</v>
      </c>
      <c r="H45" s="12" t="s">
        <v>2418</v>
      </c>
      <c r="I45" s="12" t="s">
        <v>59</v>
      </c>
      <c r="J45" s="12" t="s">
        <v>60</v>
      </c>
      <c r="K45" s="12" t="s">
        <v>308</v>
      </c>
      <c r="L45" s="12" t="s">
        <v>259</v>
      </c>
      <c r="M45" s="12" t="s">
        <v>2415</v>
      </c>
      <c r="N45" s="12" t="s">
        <v>2416</v>
      </c>
      <c r="O45" s="12" t="s">
        <v>409</v>
      </c>
      <c r="P45" s="12" t="s">
        <v>3325</v>
      </c>
      <c r="Q45" s="12" t="s">
        <v>3326</v>
      </c>
      <c r="R45" s="12"/>
      <c r="S45" s="12" t="s">
        <v>3327</v>
      </c>
      <c r="T45" s="12" t="s">
        <v>3328</v>
      </c>
    </row>
    <row r="46" spans="1:20" ht="28" x14ac:dyDescent="0.35">
      <c r="A46" s="12" t="s">
        <v>415</v>
      </c>
      <c r="B46" s="12" t="s">
        <v>416</v>
      </c>
      <c r="C46" s="12" t="s">
        <v>122</v>
      </c>
      <c r="D46" s="12" t="s">
        <v>38</v>
      </c>
      <c r="E46" s="12"/>
      <c r="F46" s="28" t="s">
        <v>209</v>
      </c>
      <c r="G46" s="28" t="s">
        <v>419</v>
      </c>
      <c r="H46" s="12" t="s">
        <v>420</v>
      </c>
      <c r="I46" s="12" t="s">
        <v>59</v>
      </c>
      <c r="J46" s="12" t="s">
        <v>60</v>
      </c>
      <c r="K46" s="12" t="s">
        <v>228</v>
      </c>
      <c r="L46" s="12" t="s">
        <v>198</v>
      </c>
      <c r="M46" s="12" t="s">
        <v>417</v>
      </c>
      <c r="N46" s="12" t="s">
        <v>418</v>
      </c>
      <c r="O46" s="12" t="s">
        <v>409</v>
      </c>
      <c r="P46" s="12"/>
      <c r="Q46" s="12"/>
      <c r="R46" s="12"/>
      <c r="S46" s="12"/>
      <c r="T46" s="12" t="s">
        <v>3329</v>
      </c>
    </row>
    <row r="47" spans="1:20" ht="28" x14ac:dyDescent="0.35">
      <c r="A47" s="12" t="s">
        <v>421</v>
      </c>
      <c r="B47" s="12" t="s">
        <v>422</v>
      </c>
      <c r="C47" s="12" t="s">
        <v>122</v>
      </c>
      <c r="D47" s="12" t="s">
        <v>33</v>
      </c>
      <c r="E47" s="12"/>
      <c r="F47" s="28" t="s">
        <v>202</v>
      </c>
      <c r="G47" s="28" t="s">
        <v>229</v>
      </c>
      <c r="H47" s="12" t="s">
        <v>204</v>
      </c>
      <c r="I47" s="12" t="s">
        <v>53</v>
      </c>
      <c r="J47" s="12" t="s">
        <v>54</v>
      </c>
      <c r="K47" s="12" t="s">
        <v>308</v>
      </c>
      <c r="L47" s="12" t="s">
        <v>259</v>
      </c>
      <c r="M47" s="12" t="s">
        <v>423</v>
      </c>
      <c r="N47" s="12" t="s">
        <v>424</v>
      </c>
      <c r="O47" s="12" t="s">
        <v>425</v>
      </c>
      <c r="P47" s="12" t="s">
        <v>3330</v>
      </c>
      <c r="Q47" s="12" t="s">
        <v>3331</v>
      </c>
      <c r="R47" s="12" t="s">
        <v>3250</v>
      </c>
      <c r="S47" s="12" t="s">
        <v>3332</v>
      </c>
      <c r="T47" s="12" t="s">
        <v>3333</v>
      </c>
    </row>
    <row r="48" spans="1:20" ht="42" x14ac:dyDescent="0.35">
      <c r="A48" s="12" t="s">
        <v>426</v>
      </c>
      <c r="B48" s="12" t="s">
        <v>427</v>
      </c>
      <c r="C48" s="12" t="s">
        <v>122</v>
      </c>
      <c r="D48" s="12" t="s">
        <v>33</v>
      </c>
      <c r="E48" s="12"/>
      <c r="F48" s="28" t="s">
        <v>216</v>
      </c>
      <c r="G48" s="28" t="s">
        <v>431</v>
      </c>
      <c r="H48" s="12" t="s">
        <v>432</v>
      </c>
      <c r="I48" s="12" t="s">
        <v>69</v>
      </c>
      <c r="J48" s="12" t="s">
        <v>70</v>
      </c>
      <c r="K48" s="12" t="s">
        <v>228</v>
      </c>
      <c r="L48" s="12" t="s">
        <v>198</v>
      </c>
      <c r="M48" s="12" t="s">
        <v>428</v>
      </c>
      <c r="N48" s="12" t="s">
        <v>429</v>
      </c>
      <c r="O48" s="12" t="s">
        <v>430</v>
      </c>
      <c r="P48" s="12"/>
      <c r="Q48" s="12"/>
      <c r="R48" s="12"/>
      <c r="S48" s="12" t="s">
        <v>3334</v>
      </c>
      <c r="T48" s="12" t="s">
        <v>3335</v>
      </c>
    </row>
    <row r="49" spans="1:20" ht="28" x14ac:dyDescent="0.35">
      <c r="A49" s="12" t="s">
        <v>433</v>
      </c>
      <c r="B49" s="12" t="s">
        <v>434</v>
      </c>
      <c r="C49" s="12" t="s">
        <v>122</v>
      </c>
      <c r="D49" s="12" t="s">
        <v>33</v>
      </c>
      <c r="E49" s="12"/>
      <c r="F49" s="28" t="s">
        <v>202</v>
      </c>
      <c r="G49" s="28" t="s">
        <v>229</v>
      </c>
      <c r="H49" s="12" t="s">
        <v>204</v>
      </c>
      <c r="I49" s="12" t="s">
        <v>53</v>
      </c>
      <c r="J49" s="12" t="s">
        <v>54</v>
      </c>
      <c r="K49" s="12" t="s">
        <v>308</v>
      </c>
      <c r="L49" s="12" t="s">
        <v>259</v>
      </c>
      <c r="M49" s="12" t="s">
        <v>435</v>
      </c>
      <c r="N49" s="12" t="s">
        <v>436</v>
      </c>
      <c r="O49" s="12" t="s">
        <v>430</v>
      </c>
      <c r="P49" s="12"/>
      <c r="Q49" s="12"/>
      <c r="R49" s="12" t="s">
        <v>3250</v>
      </c>
      <c r="S49" s="12" t="s">
        <v>3336</v>
      </c>
      <c r="T49" s="12" t="s">
        <v>3337</v>
      </c>
    </row>
    <row r="50" spans="1:20" ht="42" x14ac:dyDescent="0.35">
      <c r="A50" s="12" t="s">
        <v>437</v>
      </c>
      <c r="B50" s="12" t="s">
        <v>438</v>
      </c>
      <c r="C50" s="12" t="s">
        <v>122</v>
      </c>
      <c r="D50" s="12" t="s">
        <v>33</v>
      </c>
      <c r="E50" s="12"/>
      <c r="F50" s="28" t="s">
        <v>202</v>
      </c>
      <c r="G50" s="28" t="s">
        <v>441</v>
      </c>
      <c r="H50" s="12" t="s">
        <v>204</v>
      </c>
      <c r="I50" s="12" t="s">
        <v>57</v>
      </c>
      <c r="J50" s="12" t="s">
        <v>58</v>
      </c>
      <c r="K50" s="12" t="s">
        <v>331</v>
      </c>
      <c r="L50" s="12" t="s">
        <v>239</v>
      </c>
      <c r="M50" s="12" t="s">
        <v>439</v>
      </c>
      <c r="N50" s="12" t="s">
        <v>440</v>
      </c>
      <c r="O50" s="12" t="s">
        <v>430</v>
      </c>
      <c r="P50" s="12"/>
      <c r="Q50" s="12"/>
      <c r="R50" s="12" t="s">
        <v>3250</v>
      </c>
      <c r="S50" s="12" t="s">
        <v>3338</v>
      </c>
      <c r="T50" s="12" t="s">
        <v>3339</v>
      </c>
    </row>
    <row r="51" spans="1:20" x14ac:dyDescent="0.35">
      <c r="A51" s="12" t="s">
        <v>442</v>
      </c>
      <c r="B51" s="12" t="s">
        <v>443</v>
      </c>
      <c r="C51" s="12" t="s">
        <v>122</v>
      </c>
      <c r="D51" s="12" t="s">
        <v>33</v>
      </c>
      <c r="E51" s="12"/>
      <c r="F51" s="28" t="s">
        <v>209</v>
      </c>
      <c r="G51" s="28" t="s">
        <v>444</v>
      </c>
      <c r="H51" s="12" t="s">
        <v>445</v>
      </c>
      <c r="I51" s="12" t="s">
        <v>53</v>
      </c>
      <c r="J51" s="12" t="s">
        <v>54</v>
      </c>
      <c r="K51" s="12" t="s">
        <v>228</v>
      </c>
      <c r="L51" s="12" t="s">
        <v>198</v>
      </c>
      <c r="M51" s="12" t="s">
        <v>435</v>
      </c>
      <c r="N51" s="12" t="s">
        <v>436</v>
      </c>
      <c r="O51" s="12" t="s">
        <v>430</v>
      </c>
      <c r="P51" s="12"/>
      <c r="Q51" s="12"/>
      <c r="R51" s="12"/>
      <c r="S51" s="12"/>
      <c r="T51" s="12" t="s">
        <v>3340</v>
      </c>
    </row>
    <row r="52" spans="1:20" ht="56" x14ac:dyDescent="0.35">
      <c r="A52" s="12" t="s">
        <v>446</v>
      </c>
      <c r="B52" s="12" t="s">
        <v>447</v>
      </c>
      <c r="C52" s="12" t="s">
        <v>122</v>
      </c>
      <c r="D52" s="12" t="s">
        <v>33</v>
      </c>
      <c r="E52" s="12"/>
      <c r="F52" s="28" t="s">
        <v>202</v>
      </c>
      <c r="G52" s="28" t="s">
        <v>450</v>
      </c>
      <c r="H52" s="12" t="s">
        <v>204</v>
      </c>
      <c r="I52" s="12" t="s">
        <v>59</v>
      </c>
      <c r="J52" s="12" t="s">
        <v>60</v>
      </c>
      <c r="K52" s="12" t="s">
        <v>331</v>
      </c>
      <c r="L52" s="12" t="s">
        <v>239</v>
      </c>
      <c r="M52" s="12" t="s">
        <v>448</v>
      </c>
      <c r="N52" s="12" t="s">
        <v>449</v>
      </c>
      <c r="O52" s="12" t="s">
        <v>430</v>
      </c>
      <c r="P52" s="12"/>
      <c r="Q52" s="12"/>
      <c r="R52" s="12" t="s">
        <v>3250</v>
      </c>
      <c r="S52" s="12"/>
      <c r="T52" s="12" t="s">
        <v>3341</v>
      </c>
    </row>
    <row r="53" spans="1:20" ht="28" x14ac:dyDescent="0.35">
      <c r="A53" s="12" t="s">
        <v>451</v>
      </c>
      <c r="B53" s="12" t="s">
        <v>452</v>
      </c>
      <c r="C53" s="12" t="s">
        <v>122</v>
      </c>
      <c r="D53" s="12" t="s">
        <v>33</v>
      </c>
      <c r="E53" s="12"/>
      <c r="F53" s="28" t="s">
        <v>202</v>
      </c>
      <c r="G53" s="28" t="s">
        <v>318</v>
      </c>
      <c r="H53" s="12" t="s">
        <v>204</v>
      </c>
      <c r="I53" s="12" t="s">
        <v>61</v>
      </c>
      <c r="J53" s="12" t="s">
        <v>62</v>
      </c>
      <c r="K53" s="12" t="s">
        <v>228</v>
      </c>
      <c r="L53" s="12" t="s">
        <v>198</v>
      </c>
      <c r="M53" s="12" t="s">
        <v>435</v>
      </c>
      <c r="N53" s="12" t="s">
        <v>436</v>
      </c>
      <c r="O53" s="12" t="s">
        <v>430</v>
      </c>
      <c r="P53" s="12"/>
      <c r="Q53" s="12"/>
      <c r="R53" s="12" t="s">
        <v>3250</v>
      </c>
      <c r="S53" s="12"/>
      <c r="T53" s="12" t="s">
        <v>3342</v>
      </c>
    </row>
    <row r="54" spans="1:20" ht="28" x14ac:dyDescent="0.35">
      <c r="A54" s="12" t="s">
        <v>453</v>
      </c>
      <c r="B54" s="12" t="s">
        <v>454</v>
      </c>
      <c r="C54" s="12" t="s">
        <v>122</v>
      </c>
      <c r="D54" s="12" t="s">
        <v>33</v>
      </c>
      <c r="E54" s="12"/>
      <c r="F54" s="28" t="s">
        <v>202</v>
      </c>
      <c r="G54" s="28" t="s">
        <v>388</v>
      </c>
      <c r="H54" s="12" t="s">
        <v>204</v>
      </c>
      <c r="I54" s="12" t="s">
        <v>55</v>
      </c>
      <c r="J54" s="12" t="s">
        <v>56</v>
      </c>
      <c r="K54" s="12" t="s">
        <v>430</v>
      </c>
      <c r="L54" s="12" t="s">
        <v>386</v>
      </c>
      <c r="M54" s="12" t="s">
        <v>455</v>
      </c>
      <c r="N54" s="12" t="s">
        <v>456</v>
      </c>
      <c r="O54" s="12" t="s">
        <v>457</v>
      </c>
      <c r="P54" s="12"/>
      <c r="Q54" s="12"/>
      <c r="R54" s="12" t="s">
        <v>3250</v>
      </c>
      <c r="S54" s="12"/>
      <c r="T54" s="12" t="s">
        <v>3343</v>
      </c>
    </row>
    <row r="55" spans="1:20" ht="56" x14ac:dyDescent="0.35">
      <c r="A55" s="12" t="s">
        <v>458</v>
      </c>
      <c r="B55" s="12" t="s">
        <v>459</v>
      </c>
      <c r="C55" s="12" t="s">
        <v>122</v>
      </c>
      <c r="D55" s="12" t="s">
        <v>34</v>
      </c>
      <c r="E55" s="12"/>
      <c r="F55" s="28" t="s">
        <v>216</v>
      </c>
      <c r="G55" s="28" t="s">
        <v>462</v>
      </c>
      <c r="H55" s="12" t="s">
        <v>463</v>
      </c>
      <c r="I55" s="12" t="s">
        <v>63</v>
      </c>
      <c r="J55" s="12" t="s">
        <v>64</v>
      </c>
      <c r="K55" s="12" t="s">
        <v>228</v>
      </c>
      <c r="L55" s="12" t="s">
        <v>198</v>
      </c>
      <c r="M55" s="12" t="s">
        <v>460</v>
      </c>
      <c r="N55" s="12" t="s">
        <v>461</v>
      </c>
      <c r="O55" s="12" t="s">
        <v>457</v>
      </c>
      <c r="P55" s="12"/>
      <c r="Q55" s="12"/>
      <c r="R55" s="12"/>
      <c r="S55" s="12" t="s">
        <v>3344</v>
      </c>
      <c r="T55" s="12" t="s">
        <v>3345</v>
      </c>
    </row>
    <row r="56" spans="1:20" ht="28" x14ac:dyDescent="0.35">
      <c r="A56" s="12" t="s">
        <v>464</v>
      </c>
      <c r="B56" s="12" t="s">
        <v>465</v>
      </c>
      <c r="C56" s="12" t="s">
        <v>122</v>
      </c>
      <c r="D56" s="12" t="s">
        <v>33</v>
      </c>
      <c r="E56" s="12"/>
      <c r="F56" s="28" t="s">
        <v>202</v>
      </c>
      <c r="G56" s="28" t="s">
        <v>468</v>
      </c>
      <c r="H56" s="12" t="s">
        <v>204</v>
      </c>
      <c r="I56" s="12" t="s">
        <v>65</v>
      </c>
      <c r="J56" s="12" t="s">
        <v>66</v>
      </c>
      <c r="K56" s="12" t="s">
        <v>308</v>
      </c>
      <c r="L56" s="12" t="s">
        <v>259</v>
      </c>
      <c r="M56" s="12" t="s">
        <v>466</v>
      </c>
      <c r="N56" s="12" t="s">
        <v>467</v>
      </c>
      <c r="O56" s="12" t="s">
        <v>457</v>
      </c>
      <c r="P56" s="12"/>
      <c r="Q56" s="12"/>
      <c r="R56" s="12" t="s">
        <v>3346</v>
      </c>
      <c r="S56" s="12" t="s">
        <v>3347</v>
      </c>
      <c r="T56" s="12" t="s">
        <v>3348</v>
      </c>
    </row>
    <row r="57" spans="1:20" ht="28" x14ac:dyDescent="0.35">
      <c r="A57" s="12" t="s">
        <v>469</v>
      </c>
      <c r="B57" s="12" t="s">
        <v>470</v>
      </c>
      <c r="C57" s="12" t="s">
        <v>122</v>
      </c>
      <c r="D57" s="12" t="s">
        <v>33</v>
      </c>
      <c r="E57" s="12"/>
      <c r="F57" s="28" t="s">
        <v>202</v>
      </c>
      <c r="G57" s="28" t="s">
        <v>473</v>
      </c>
      <c r="H57" s="12" t="s">
        <v>204</v>
      </c>
      <c r="I57" s="12" t="s">
        <v>67</v>
      </c>
      <c r="J57" s="12" t="s">
        <v>68</v>
      </c>
      <c r="K57" s="12" t="s">
        <v>331</v>
      </c>
      <c r="L57" s="12" t="s">
        <v>239</v>
      </c>
      <c r="M57" s="12" t="s">
        <v>471</v>
      </c>
      <c r="N57" s="12" t="s">
        <v>472</v>
      </c>
      <c r="O57" s="12" t="s">
        <v>457</v>
      </c>
      <c r="P57" s="12"/>
      <c r="Q57" s="12"/>
      <c r="R57" s="12" t="s">
        <v>3250</v>
      </c>
      <c r="S57" s="12" t="s">
        <v>3349</v>
      </c>
      <c r="T57" s="12" t="s">
        <v>3350</v>
      </c>
    </row>
    <row r="58" spans="1:20" ht="42" x14ac:dyDescent="0.35">
      <c r="A58" s="12" t="s">
        <v>474</v>
      </c>
      <c r="B58" s="12" t="s">
        <v>475</v>
      </c>
      <c r="C58" s="12" t="s">
        <v>122</v>
      </c>
      <c r="D58" s="12" t="s">
        <v>33</v>
      </c>
      <c r="E58" s="12"/>
      <c r="F58" s="28" t="s">
        <v>202</v>
      </c>
      <c r="G58" s="28" t="s">
        <v>478</v>
      </c>
      <c r="H58" s="12" t="s">
        <v>204</v>
      </c>
      <c r="I58" s="12" t="s">
        <v>53</v>
      </c>
      <c r="J58" s="12" t="s">
        <v>54</v>
      </c>
      <c r="K58" s="12" t="s">
        <v>331</v>
      </c>
      <c r="L58" s="12" t="s">
        <v>239</v>
      </c>
      <c r="M58" s="12" t="s">
        <v>476</v>
      </c>
      <c r="N58" s="12" t="s">
        <v>477</v>
      </c>
      <c r="O58" s="12" t="s">
        <v>457</v>
      </c>
      <c r="P58" s="12"/>
      <c r="Q58" s="12"/>
      <c r="R58" s="12" t="s">
        <v>3351</v>
      </c>
      <c r="S58" s="12" t="s">
        <v>3352</v>
      </c>
      <c r="T58" s="12" t="s">
        <v>3353</v>
      </c>
    </row>
    <row r="59" spans="1:20" ht="42" x14ac:dyDescent="0.35">
      <c r="A59" s="12" t="s">
        <v>479</v>
      </c>
      <c r="B59" s="12" t="s">
        <v>480</v>
      </c>
      <c r="C59" s="12" t="s">
        <v>122</v>
      </c>
      <c r="D59" s="12" t="s">
        <v>33</v>
      </c>
      <c r="E59" s="12"/>
      <c r="F59" s="28" t="s">
        <v>202</v>
      </c>
      <c r="G59" s="28" t="s">
        <v>481</v>
      </c>
      <c r="H59" s="12" t="s">
        <v>204</v>
      </c>
      <c r="I59" s="12" t="s">
        <v>55</v>
      </c>
      <c r="J59" s="12" t="s">
        <v>56</v>
      </c>
      <c r="K59" s="12" t="s">
        <v>331</v>
      </c>
      <c r="L59" s="12" t="s">
        <v>239</v>
      </c>
      <c r="M59" s="12" t="s">
        <v>455</v>
      </c>
      <c r="N59" s="12" t="s">
        <v>456</v>
      </c>
      <c r="O59" s="12" t="s">
        <v>457</v>
      </c>
      <c r="P59" s="12"/>
      <c r="Q59" s="12"/>
      <c r="R59" s="12" t="s">
        <v>3250</v>
      </c>
      <c r="S59" s="12" t="s">
        <v>3354</v>
      </c>
      <c r="T59" s="12" t="s">
        <v>3355</v>
      </c>
    </row>
    <row r="60" spans="1:20" ht="28" x14ac:dyDescent="0.35">
      <c r="A60" s="12" t="s">
        <v>482</v>
      </c>
      <c r="B60" s="12" t="s">
        <v>483</v>
      </c>
      <c r="C60" s="12" t="s">
        <v>122</v>
      </c>
      <c r="D60" s="12" t="s">
        <v>33</v>
      </c>
      <c r="E60" s="12"/>
      <c r="F60" s="28" t="s">
        <v>202</v>
      </c>
      <c r="G60" s="28" t="s">
        <v>229</v>
      </c>
      <c r="H60" s="12" t="s">
        <v>204</v>
      </c>
      <c r="I60" s="12" t="s">
        <v>53</v>
      </c>
      <c r="J60" s="12" t="s">
        <v>54</v>
      </c>
      <c r="K60" s="12" t="s">
        <v>228</v>
      </c>
      <c r="L60" s="12" t="s">
        <v>198</v>
      </c>
      <c r="M60" s="12" t="s">
        <v>484</v>
      </c>
      <c r="N60" s="12" t="s">
        <v>485</v>
      </c>
      <c r="O60" s="12" t="s">
        <v>457</v>
      </c>
      <c r="P60" s="12"/>
      <c r="Q60" s="12"/>
      <c r="R60" s="12" t="s">
        <v>3250</v>
      </c>
      <c r="S60" s="12"/>
      <c r="T60" s="12" t="s">
        <v>3356</v>
      </c>
    </row>
    <row r="61" spans="1:20" ht="28" x14ac:dyDescent="0.35">
      <c r="A61" s="12" t="s">
        <v>486</v>
      </c>
      <c r="B61" s="12" t="s">
        <v>487</v>
      </c>
      <c r="C61" s="12" t="s">
        <v>122</v>
      </c>
      <c r="D61" s="12" t="s">
        <v>33</v>
      </c>
      <c r="E61" s="12"/>
      <c r="F61" s="28" t="s">
        <v>202</v>
      </c>
      <c r="G61" s="28" t="s">
        <v>229</v>
      </c>
      <c r="H61" s="12" t="s">
        <v>204</v>
      </c>
      <c r="I61" s="12" t="s">
        <v>53</v>
      </c>
      <c r="J61" s="12" t="s">
        <v>54</v>
      </c>
      <c r="K61" s="12" t="s">
        <v>228</v>
      </c>
      <c r="L61" s="12" t="s">
        <v>198</v>
      </c>
      <c r="M61" s="12" t="s">
        <v>488</v>
      </c>
      <c r="N61" s="12" t="s">
        <v>489</v>
      </c>
      <c r="O61" s="12" t="s">
        <v>457</v>
      </c>
      <c r="P61" s="12"/>
      <c r="Q61" s="12"/>
      <c r="R61" s="12" t="s">
        <v>3250</v>
      </c>
      <c r="S61" s="12"/>
      <c r="T61" s="12" t="s">
        <v>3357</v>
      </c>
    </row>
    <row r="62" spans="1:20" ht="42" x14ac:dyDescent="0.35">
      <c r="A62" s="12" t="s">
        <v>490</v>
      </c>
      <c r="B62" s="12" t="s">
        <v>491</v>
      </c>
      <c r="C62" s="12" t="s">
        <v>122</v>
      </c>
      <c r="D62" s="12" t="s">
        <v>33</v>
      </c>
      <c r="E62" s="12"/>
      <c r="F62" s="28" t="s">
        <v>202</v>
      </c>
      <c r="G62" s="28" t="s">
        <v>492</v>
      </c>
      <c r="H62" s="12" t="s">
        <v>204</v>
      </c>
      <c r="I62" s="12" t="s">
        <v>53</v>
      </c>
      <c r="J62" s="12" t="s">
        <v>54</v>
      </c>
      <c r="K62" s="12" t="s">
        <v>308</v>
      </c>
      <c r="L62" s="12" t="s">
        <v>259</v>
      </c>
      <c r="M62" s="12" t="s">
        <v>476</v>
      </c>
      <c r="N62" s="12" t="s">
        <v>477</v>
      </c>
      <c r="O62" s="12" t="s">
        <v>457</v>
      </c>
      <c r="P62" s="12"/>
      <c r="Q62" s="12"/>
      <c r="R62" s="12" t="s">
        <v>3250</v>
      </c>
      <c r="S62" s="12"/>
      <c r="T62" s="12" t="s">
        <v>3358</v>
      </c>
    </row>
    <row r="63" spans="1:20" ht="28" x14ac:dyDescent="0.35">
      <c r="A63" s="12" t="s">
        <v>493</v>
      </c>
      <c r="B63" s="12" t="s">
        <v>494</v>
      </c>
      <c r="C63" s="12" t="s">
        <v>122</v>
      </c>
      <c r="D63" s="12" t="s">
        <v>33</v>
      </c>
      <c r="E63" s="12"/>
      <c r="F63" s="28" t="s">
        <v>209</v>
      </c>
      <c r="G63" s="28" t="s">
        <v>497</v>
      </c>
      <c r="H63" s="12" t="s">
        <v>498</v>
      </c>
      <c r="I63" s="12" t="s">
        <v>87</v>
      </c>
      <c r="J63" s="12" t="s">
        <v>88</v>
      </c>
      <c r="K63" s="12" t="s">
        <v>308</v>
      </c>
      <c r="L63" s="12" t="s">
        <v>259</v>
      </c>
      <c r="M63" s="12" t="s">
        <v>495</v>
      </c>
      <c r="N63" s="12" t="s">
        <v>496</v>
      </c>
      <c r="O63" s="12" t="s">
        <v>457</v>
      </c>
      <c r="P63" s="12"/>
      <c r="Q63" s="12"/>
      <c r="R63" s="12"/>
      <c r="S63" s="12"/>
      <c r="T63" s="12" t="s">
        <v>3359</v>
      </c>
    </row>
    <row r="64" spans="1:20" x14ac:dyDescent="0.35">
      <c r="A64" s="12" t="s">
        <v>499</v>
      </c>
      <c r="B64" s="12" t="s">
        <v>500</v>
      </c>
      <c r="C64" s="12" t="s">
        <v>122</v>
      </c>
      <c r="D64" s="12" t="s">
        <v>33</v>
      </c>
      <c r="E64" s="12"/>
      <c r="F64" s="28" t="s">
        <v>209</v>
      </c>
      <c r="G64" s="28" t="s">
        <v>504</v>
      </c>
      <c r="H64" s="12" t="s">
        <v>505</v>
      </c>
      <c r="I64" s="12" t="s">
        <v>59</v>
      </c>
      <c r="J64" s="12" t="s">
        <v>60</v>
      </c>
      <c r="K64" s="12" t="s">
        <v>308</v>
      </c>
      <c r="L64" s="12" t="s">
        <v>259</v>
      </c>
      <c r="M64" s="12" t="s">
        <v>501</v>
      </c>
      <c r="N64" s="12" t="s">
        <v>502</v>
      </c>
      <c r="O64" s="12" t="s">
        <v>503</v>
      </c>
      <c r="P64" s="12"/>
      <c r="Q64" s="12"/>
      <c r="R64" s="12"/>
      <c r="S64" s="12"/>
      <c r="T64" s="12" t="s">
        <v>3360</v>
      </c>
    </row>
    <row r="65" spans="1:20" x14ac:dyDescent="0.35">
      <c r="A65" s="12" t="s">
        <v>506</v>
      </c>
      <c r="B65" s="12" t="s">
        <v>507</v>
      </c>
      <c r="C65" s="12" t="s">
        <v>122</v>
      </c>
      <c r="D65" s="12" t="s">
        <v>33</v>
      </c>
      <c r="E65" s="12"/>
      <c r="F65" s="28" t="s">
        <v>209</v>
      </c>
      <c r="G65" s="28" t="s">
        <v>510</v>
      </c>
      <c r="H65" s="12" t="s">
        <v>511</v>
      </c>
      <c r="I65" s="12" t="s">
        <v>53</v>
      </c>
      <c r="J65" s="12" t="s">
        <v>54</v>
      </c>
      <c r="K65" s="12" t="s">
        <v>308</v>
      </c>
      <c r="L65" s="12" t="s">
        <v>259</v>
      </c>
      <c r="M65" s="12" t="s">
        <v>508</v>
      </c>
      <c r="N65" s="12" t="s">
        <v>509</v>
      </c>
      <c r="O65" s="12" t="s">
        <v>503</v>
      </c>
      <c r="P65" s="12"/>
      <c r="Q65" s="12"/>
      <c r="R65" s="12"/>
      <c r="S65" s="12" t="s">
        <v>3361</v>
      </c>
      <c r="T65" s="12" t="s">
        <v>3284</v>
      </c>
    </row>
    <row r="66" spans="1:20" ht="28" x14ac:dyDescent="0.35">
      <c r="A66" s="12" t="s">
        <v>512</v>
      </c>
      <c r="B66" s="12" t="s">
        <v>513</v>
      </c>
      <c r="C66" s="12" t="s">
        <v>122</v>
      </c>
      <c r="D66" s="12" t="s">
        <v>33</v>
      </c>
      <c r="E66" s="12"/>
      <c r="F66" s="28" t="s">
        <v>202</v>
      </c>
      <c r="G66" s="28" t="s">
        <v>371</v>
      </c>
      <c r="H66" s="12" t="s">
        <v>204</v>
      </c>
      <c r="I66" s="12" t="s">
        <v>55</v>
      </c>
      <c r="J66" s="12" t="s">
        <v>56</v>
      </c>
      <c r="K66" s="12" t="s">
        <v>331</v>
      </c>
      <c r="L66" s="12" t="s">
        <v>239</v>
      </c>
      <c r="M66" s="12" t="s">
        <v>514</v>
      </c>
      <c r="N66" s="12" t="s">
        <v>515</v>
      </c>
      <c r="O66" s="12" t="s">
        <v>516</v>
      </c>
      <c r="P66" s="12"/>
      <c r="Q66" s="12"/>
      <c r="R66" s="12" t="s">
        <v>3266</v>
      </c>
      <c r="S66" s="12" t="s">
        <v>3362</v>
      </c>
      <c r="T66" s="12" t="s">
        <v>3363</v>
      </c>
    </row>
    <row r="67" spans="1:20" ht="56" x14ac:dyDescent="0.35">
      <c r="A67" s="12" t="s">
        <v>517</v>
      </c>
      <c r="B67" s="12" t="s">
        <v>518</v>
      </c>
      <c r="C67" s="12" t="s">
        <v>122</v>
      </c>
      <c r="D67" s="12" t="s">
        <v>33</v>
      </c>
      <c r="E67" s="12"/>
      <c r="F67" s="28" t="s">
        <v>202</v>
      </c>
      <c r="G67" s="28" t="s">
        <v>521</v>
      </c>
      <c r="H67" s="12" t="s">
        <v>204</v>
      </c>
      <c r="I67" s="12" t="s">
        <v>67</v>
      </c>
      <c r="J67" s="12" t="s">
        <v>68</v>
      </c>
      <c r="K67" s="12" t="s">
        <v>228</v>
      </c>
      <c r="L67" s="12" t="s">
        <v>198</v>
      </c>
      <c r="M67" s="12" t="s">
        <v>519</v>
      </c>
      <c r="N67" s="12" t="s">
        <v>520</v>
      </c>
      <c r="O67" s="12" t="s">
        <v>516</v>
      </c>
      <c r="P67" s="12"/>
      <c r="Q67" s="12"/>
      <c r="R67" s="12" t="s">
        <v>3308</v>
      </c>
      <c r="S67" s="12" t="s">
        <v>3364</v>
      </c>
      <c r="T67" s="12" t="s">
        <v>3365</v>
      </c>
    </row>
    <row r="68" spans="1:20" ht="28" x14ac:dyDescent="0.35">
      <c r="A68" s="12" t="s">
        <v>522</v>
      </c>
      <c r="B68" s="12" t="s">
        <v>523</v>
      </c>
      <c r="C68" s="12" t="s">
        <v>122</v>
      </c>
      <c r="D68" s="12" t="s">
        <v>33</v>
      </c>
      <c r="E68" s="12"/>
      <c r="F68" s="28" t="s">
        <v>202</v>
      </c>
      <c r="G68" s="28" t="s">
        <v>229</v>
      </c>
      <c r="H68" s="12" t="s">
        <v>204</v>
      </c>
      <c r="I68" s="12" t="s">
        <v>53</v>
      </c>
      <c r="J68" s="12" t="s">
        <v>54</v>
      </c>
      <c r="K68" s="12" t="s">
        <v>228</v>
      </c>
      <c r="L68" s="12" t="s">
        <v>198</v>
      </c>
      <c r="M68" s="12" t="s">
        <v>524</v>
      </c>
      <c r="N68" s="12" t="s">
        <v>525</v>
      </c>
      <c r="O68" s="12" t="s">
        <v>516</v>
      </c>
      <c r="P68" s="12"/>
      <c r="Q68" s="12"/>
      <c r="R68" s="12" t="s">
        <v>3266</v>
      </c>
      <c r="S68" s="12"/>
      <c r="T68" s="12" t="s">
        <v>3366</v>
      </c>
    </row>
    <row r="69" spans="1:20" ht="28" x14ac:dyDescent="0.35">
      <c r="A69" s="12" t="s">
        <v>526</v>
      </c>
      <c r="B69" s="12" t="s">
        <v>527</v>
      </c>
      <c r="C69" s="12" t="s">
        <v>122</v>
      </c>
      <c r="D69" s="12" t="s">
        <v>33</v>
      </c>
      <c r="E69" s="12"/>
      <c r="F69" s="28" t="s">
        <v>209</v>
      </c>
      <c r="G69" s="28" t="s">
        <v>531</v>
      </c>
      <c r="H69" s="12" t="s">
        <v>532</v>
      </c>
      <c r="I69" s="12" t="s">
        <v>53</v>
      </c>
      <c r="J69" s="12" t="s">
        <v>54</v>
      </c>
      <c r="K69" s="12" t="s">
        <v>308</v>
      </c>
      <c r="L69" s="12" t="s">
        <v>259</v>
      </c>
      <c r="M69" s="12" t="s">
        <v>528</v>
      </c>
      <c r="N69" s="12" t="s">
        <v>529</v>
      </c>
      <c r="O69" s="12" t="s">
        <v>530</v>
      </c>
      <c r="P69" s="12"/>
      <c r="Q69" s="12"/>
      <c r="R69" s="12"/>
      <c r="S69" s="12" t="s">
        <v>3367</v>
      </c>
      <c r="T69" s="12" t="s">
        <v>3368</v>
      </c>
    </row>
    <row r="70" spans="1:20" ht="56" x14ac:dyDescent="0.35">
      <c r="A70" s="12" t="s">
        <v>533</v>
      </c>
      <c r="B70" s="12" t="s">
        <v>534</v>
      </c>
      <c r="C70" s="12" t="s">
        <v>122</v>
      </c>
      <c r="D70" s="12" t="s">
        <v>33</v>
      </c>
      <c r="E70" s="12"/>
      <c r="F70" s="28" t="s">
        <v>202</v>
      </c>
      <c r="G70" s="28" t="s">
        <v>537</v>
      </c>
      <c r="H70" s="12" t="s">
        <v>204</v>
      </c>
      <c r="I70" s="12" t="s">
        <v>57</v>
      </c>
      <c r="J70" s="12" t="s">
        <v>58</v>
      </c>
      <c r="K70" s="12" t="s">
        <v>331</v>
      </c>
      <c r="L70" s="12" t="s">
        <v>239</v>
      </c>
      <c r="M70" s="12" t="s">
        <v>535</v>
      </c>
      <c r="N70" s="12" t="s">
        <v>536</v>
      </c>
      <c r="O70" s="12" t="s">
        <v>530</v>
      </c>
      <c r="P70" s="12"/>
      <c r="Q70" s="12"/>
      <c r="R70" s="12" t="s">
        <v>3266</v>
      </c>
      <c r="S70" s="12"/>
      <c r="T70" s="12" t="s">
        <v>3369</v>
      </c>
    </row>
    <row r="71" spans="1:20" ht="42" x14ac:dyDescent="0.35">
      <c r="A71" s="12" t="s">
        <v>538</v>
      </c>
      <c r="B71" s="12" t="s">
        <v>539</v>
      </c>
      <c r="C71" s="12" t="s">
        <v>122</v>
      </c>
      <c r="D71" s="12" t="s">
        <v>33</v>
      </c>
      <c r="E71" s="12"/>
      <c r="F71" s="28" t="s">
        <v>202</v>
      </c>
      <c r="G71" s="28" t="s">
        <v>542</v>
      </c>
      <c r="H71" s="12" t="s">
        <v>204</v>
      </c>
      <c r="I71" s="12" t="s">
        <v>67</v>
      </c>
      <c r="J71" s="12" t="s">
        <v>68</v>
      </c>
      <c r="K71" s="12" t="s">
        <v>228</v>
      </c>
      <c r="L71" s="12" t="s">
        <v>198</v>
      </c>
      <c r="M71" s="12" t="s">
        <v>540</v>
      </c>
      <c r="N71" s="12" t="s">
        <v>541</v>
      </c>
      <c r="O71" s="12" t="s">
        <v>530</v>
      </c>
      <c r="P71" s="12"/>
      <c r="Q71" s="12"/>
      <c r="R71" s="12" t="s">
        <v>3250</v>
      </c>
      <c r="S71" s="12" t="s">
        <v>3370</v>
      </c>
      <c r="T71" s="12" t="s">
        <v>3371</v>
      </c>
    </row>
    <row r="72" spans="1:20" ht="56" x14ac:dyDescent="0.35">
      <c r="A72" s="12" t="s">
        <v>543</v>
      </c>
      <c r="B72" s="12" t="s">
        <v>544</v>
      </c>
      <c r="C72" s="12" t="s">
        <v>122</v>
      </c>
      <c r="D72" s="12" t="s">
        <v>33</v>
      </c>
      <c r="E72" s="12"/>
      <c r="F72" s="28" t="s">
        <v>202</v>
      </c>
      <c r="G72" s="28" t="s">
        <v>547</v>
      </c>
      <c r="H72" s="12" t="s">
        <v>204</v>
      </c>
      <c r="I72" s="12" t="s">
        <v>53</v>
      </c>
      <c r="J72" s="12" t="s">
        <v>54</v>
      </c>
      <c r="K72" s="12" t="s">
        <v>228</v>
      </c>
      <c r="L72" s="12" t="s">
        <v>198</v>
      </c>
      <c r="M72" s="12" t="s">
        <v>545</v>
      </c>
      <c r="N72" s="12" t="s">
        <v>546</v>
      </c>
      <c r="O72" s="12" t="s">
        <v>530</v>
      </c>
      <c r="P72" s="12"/>
      <c r="Q72" s="12"/>
      <c r="R72" s="12" t="s">
        <v>3372</v>
      </c>
      <c r="S72" s="12"/>
      <c r="T72" s="12" t="s">
        <v>3373</v>
      </c>
    </row>
    <row r="73" spans="1:20" ht="56" x14ac:dyDescent="0.35">
      <c r="A73" s="12" t="s">
        <v>548</v>
      </c>
      <c r="B73" s="12" t="s">
        <v>549</v>
      </c>
      <c r="C73" s="12" t="s">
        <v>122</v>
      </c>
      <c r="D73" s="12" t="s">
        <v>33</v>
      </c>
      <c r="E73" s="12"/>
      <c r="F73" s="28" t="s">
        <v>202</v>
      </c>
      <c r="G73" s="28" t="s">
        <v>552</v>
      </c>
      <c r="H73" s="12" t="s">
        <v>204</v>
      </c>
      <c r="I73" s="12" t="s">
        <v>57</v>
      </c>
      <c r="J73" s="12" t="s">
        <v>58</v>
      </c>
      <c r="K73" s="12" t="s">
        <v>228</v>
      </c>
      <c r="L73" s="12" t="s">
        <v>198</v>
      </c>
      <c r="M73" s="12" t="s">
        <v>550</v>
      </c>
      <c r="N73" s="12" t="s">
        <v>551</v>
      </c>
      <c r="O73" s="12" t="s">
        <v>530</v>
      </c>
      <c r="P73" s="12"/>
      <c r="Q73" s="12"/>
      <c r="R73" s="12" t="s">
        <v>3266</v>
      </c>
      <c r="S73" s="12" t="s">
        <v>3374</v>
      </c>
      <c r="T73" s="12" t="s">
        <v>3375</v>
      </c>
    </row>
    <row r="74" spans="1:20" ht="28" x14ac:dyDescent="0.35">
      <c r="A74" s="12" t="s">
        <v>553</v>
      </c>
      <c r="B74" s="12" t="s">
        <v>554</v>
      </c>
      <c r="C74" s="12" t="s">
        <v>122</v>
      </c>
      <c r="D74" s="12" t="s">
        <v>33</v>
      </c>
      <c r="E74" s="12"/>
      <c r="F74" s="28" t="s">
        <v>202</v>
      </c>
      <c r="G74" s="28" t="s">
        <v>318</v>
      </c>
      <c r="H74" s="12" t="s">
        <v>204</v>
      </c>
      <c r="I74" s="12" t="s">
        <v>61</v>
      </c>
      <c r="J74" s="12" t="s">
        <v>62</v>
      </c>
      <c r="K74" s="12" t="s">
        <v>228</v>
      </c>
      <c r="L74" s="12" t="s">
        <v>198</v>
      </c>
      <c r="M74" s="12" t="s">
        <v>555</v>
      </c>
      <c r="N74" s="12" t="s">
        <v>556</v>
      </c>
      <c r="O74" s="12" t="s">
        <v>530</v>
      </c>
      <c r="P74" s="12"/>
      <c r="Q74" s="12"/>
      <c r="R74" s="12" t="s">
        <v>3250</v>
      </c>
      <c r="S74" s="12" t="s">
        <v>3376</v>
      </c>
      <c r="T74" s="12" t="s">
        <v>3377</v>
      </c>
    </row>
    <row r="75" spans="1:20" ht="28" x14ac:dyDescent="0.35">
      <c r="A75" s="12" t="s">
        <v>2419</v>
      </c>
      <c r="B75" s="12" t="s">
        <v>2420</v>
      </c>
      <c r="C75" s="12" t="s">
        <v>122</v>
      </c>
      <c r="D75" s="12" t="s">
        <v>33</v>
      </c>
      <c r="E75" s="12" t="s">
        <v>2421</v>
      </c>
      <c r="F75" s="28" t="s">
        <v>209</v>
      </c>
      <c r="G75" s="28" t="s">
        <v>2424</v>
      </c>
      <c r="H75" s="12" t="s">
        <v>2425</v>
      </c>
      <c r="I75" s="12" t="s">
        <v>53</v>
      </c>
      <c r="J75" s="12" t="s">
        <v>54</v>
      </c>
      <c r="K75" s="12" t="s">
        <v>331</v>
      </c>
      <c r="L75" s="12" t="s">
        <v>239</v>
      </c>
      <c r="M75" s="12" t="s">
        <v>2422</v>
      </c>
      <c r="N75" s="12" t="s">
        <v>2423</v>
      </c>
      <c r="O75" s="12" t="s">
        <v>530</v>
      </c>
      <c r="P75" s="12" t="s">
        <v>3378</v>
      </c>
      <c r="Q75" s="12" t="s">
        <v>3379</v>
      </c>
      <c r="R75" s="12"/>
      <c r="S75" s="12"/>
      <c r="T75" s="12" t="s">
        <v>3380</v>
      </c>
    </row>
    <row r="76" spans="1:20" ht="28" x14ac:dyDescent="0.35">
      <c r="A76" s="12" t="s">
        <v>557</v>
      </c>
      <c r="B76" s="12" t="s">
        <v>558</v>
      </c>
      <c r="C76" s="12" t="s">
        <v>122</v>
      </c>
      <c r="D76" s="12" t="s">
        <v>33</v>
      </c>
      <c r="E76" s="12"/>
      <c r="F76" s="28" t="s">
        <v>209</v>
      </c>
      <c r="G76" s="28" t="s">
        <v>561</v>
      </c>
      <c r="H76" s="12" t="s">
        <v>562</v>
      </c>
      <c r="I76" s="12" t="s">
        <v>69</v>
      </c>
      <c r="J76" s="12" t="s">
        <v>70</v>
      </c>
      <c r="K76" s="12" t="s">
        <v>228</v>
      </c>
      <c r="L76" s="12" t="s">
        <v>198</v>
      </c>
      <c r="M76" s="12" t="s">
        <v>559</v>
      </c>
      <c r="N76" s="12" t="s">
        <v>560</v>
      </c>
      <c r="O76" s="12" t="s">
        <v>530</v>
      </c>
      <c r="P76" s="12"/>
      <c r="Q76" s="12"/>
      <c r="R76" s="12"/>
      <c r="S76" s="12"/>
      <c r="T76" s="12" t="s">
        <v>3381</v>
      </c>
    </row>
    <row r="77" spans="1:20" ht="56" x14ac:dyDescent="0.35">
      <c r="A77" s="12" t="s">
        <v>563</v>
      </c>
      <c r="B77" s="12" t="s">
        <v>564</v>
      </c>
      <c r="C77" s="12" t="s">
        <v>122</v>
      </c>
      <c r="D77" s="12" t="s">
        <v>33</v>
      </c>
      <c r="E77" s="12"/>
      <c r="F77" s="28" t="s">
        <v>202</v>
      </c>
      <c r="G77" s="28" t="s">
        <v>567</v>
      </c>
      <c r="H77" s="12" t="s">
        <v>204</v>
      </c>
      <c r="I77" s="12" t="s">
        <v>55</v>
      </c>
      <c r="J77" s="12" t="s">
        <v>56</v>
      </c>
      <c r="K77" s="12" t="s">
        <v>228</v>
      </c>
      <c r="L77" s="12" t="s">
        <v>198</v>
      </c>
      <c r="M77" s="12" t="s">
        <v>565</v>
      </c>
      <c r="N77" s="12" t="s">
        <v>566</v>
      </c>
      <c r="O77" s="12" t="s">
        <v>530</v>
      </c>
      <c r="P77" s="12"/>
      <c r="Q77" s="12"/>
      <c r="R77" s="12" t="s">
        <v>3250</v>
      </c>
      <c r="S77" s="12"/>
      <c r="T77" s="12" t="s">
        <v>3382</v>
      </c>
    </row>
    <row r="78" spans="1:20" ht="56" x14ac:dyDescent="0.35">
      <c r="A78" s="12" t="s">
        <v>568</v>
      </c>
      <c r="B78" s="12" t="s">
        <v>569</v>
      </c>
      <c r="C78" s="12" t="s">
        <v>122</v>
      </c>
      <c r="D78" s="12" t="s">
        <v>33</v>
      </c>
      <c r="E78" s="12"/>
      <c r="F78" s="28" t="s">
        <v>202</v>
      </c>
      <c r="G78" s="28" t="s">
        <v>570</v>
      </c>
      <c r="H78" s="12" t="s">
        <v>204</v>
      </c>
      <c r="I78" s="12" t="s">
        <v>57</v>
      </c>
      <c r="J78" s="12" t="s">
        <v>58</v>
      </c>
      <c r="K78" s="12" t="s">
        <v>331</v>
      </c>
      <c r="L78" s="12" t="s">
        <v>239</v>
      </c>
      <c r="M78" s="12" t="s">
        <v>528</v>
      </c>
      <c r="N78" s="12" t="s">
        <v>529</v>
      </c>
      <c r="O78" s="12" t="s">
        <v>530</v>
      </c>
      <c r="P78" s="12"/>
      <c r="Q78" s="12"/>
      <c r="R78" s="12" t="s">
        <v>3372</v>
      </c>
      <c r="S78" s="12"/>
      <c r="T78" s="12" t="s">
        <v>3383</v>
      </c>
    </row>
    <row r="79" spans="1:20" ht="42" x14ac:dyDescent="0.35">
      <c r="A79" s="12" t="s">
        <v>571</v>
      </c>
      <c r="B79" s="12" t="s">
        <v>572</v>
      </c>
      <c r="C79" s="12" t="s">
        <v>122</v>
      </c>
      <c r="D79" s="12" t="s">
        <v>33</v>
      </c>
      <c r="E79" s="12"/>
      <c r="F79" s="28" t="s">
        <v>209</v>
      </c>
      <c r="G79" s="28" t="s">
        <v>576</v>
      </c>
      <c r="H79" s="12" t="s">
        <v>577</v>
      </c>
      <c r="I79" s="12" t="s">
        <v>53</v>
      </c>
      <c r="J79" s="12" t="s">
        <v>54</v>
      </c>
      <c r="K79" s="12" t="s">
        <v>331</v>
      </c>
      <c r="L79" s="12" t="s">
        <v>239</v>
      </c>
      <c r="M79" s="12" t="s">
        <v>573</v>
      </c>
      <c r="N79" s="12" t="s">
        <v>574</v>
      </c>
      <c r="O79" s="12" t="s">
        <v>575</v>
      </c>
      <c r="P79" s="12"/>
      <c r="Q79" s="12"/>
      <c r="R79" s="12"/>
      <c r="S79" s="12" t="s">
        <v>3384</v>
      </c>
      <c r="T79" s="12" t="s">
        <v>3385</v>
      </c>
    </row>
    <row r="80" spans="1:20" ht="28" x14ac:dyDescent="0.35">
      <c r="A80" s="12" t="s">
        <v>578</v>
      </c>
      <c r="B80" s="12" t="s">
        <v>579</v>
      </c>
      <c r="C80" s="12" t="s">
        <v>122</v>
      </c>
      <c r="D80" s="12" t="s">
        <v>33</v>
      </c>
      <c r="E80" s="12"/>
      <c r="F80" s="28" t="s">
        <v>202</v>
      </c>
      <c r="G80" s="28" t="s">
        <v>229</v>
      </c>
      <c r="H80" s="12" t="s">
        <v>204</v>
      </c>
      <c r="I80" s="12" t="s">
        <v>53</v>
      </c>
      <c r="J80" s="12" t="s">
        <v>54</v>
      </c>
      <c r="K80" s="12" t="s">
        <v>228</v>
      </c>
      <c r="L80" s="12" t="s">
        <v>198</v>
      </c>
      <c r="M80" s="12" t="s">
        <v>580</v>
      </c>
      <c r="N80" s="12" t="s">
        <v>581</v>
      </c>
      <c r="O80" s="12" t="s">
        <v>575</v>
      </c>
      <c r="P80" s="12"/>
      <c r="Q80" s="12"/>
      <c r="R80" s="12" t="s">
        <v>3250</v>
      </c>
      <c r="S80" s="12" t="s">
        <v>3386</v>
      </c>
      <c r="T80" s="12" t="s">
        <v>3387</v>
      </c>
    </row>
    <row r="81" spans="1:20" ht="28" x14ac:dyDescent="0.35">
      <c r="A81" s="12" t="s">
        <v>582</v>
      </c>
      <c r="B81" s="12" t="s">
        <v>583</v>
      </c>
      <c r="C81" s="12" t="s">
        <v>122</v>
      </c>
      <c r="D81" s="12" t="s">
        <v>33</v>
      </c>
      <c r="E81" s="12"/>
      <c r="F81" s="28" t="s">
        <v>202</v>
      </c>
      <c r="G81" s="28" t="s">
        <v>414</v>
      </c>
      <c r="H81" s="12" t="s">
        <v>204</v>
      </c>
      <c r="I81" s="12" t="s">
        <v>57</v>
      </c>
      <c r="J81" s="12" t="s">
        <v>58</v>
      </c>
      <c r="K81" s="12" t="s">
        <v>228</v>
      </c>
      <c r="L81" s="12" t="s">
        <v>198</v>
      </c>
      <c r="M81" s="12" t="s">
        <v>584</v>
      </c>
      <c r="N81" s="12" t="s">
        <v>585</v>
      </c>
      <c r="O81" s="12" t="s">
        <v>586</v>
      </c>
      <c r="P81" s="12"/>
      <c r="Q81" s="12"/>
      <c r="R81" s="12" t="s">
        <v>3250</v>
      </c>
      <c r="S81" s="12"/>
      <c r="T81" s="12" t="s">
        <v>3388</v>
      </c>
    </row>
    <row r="82" spans="1:20" x14ac:dyDescent="0.35">
      <c r="A82" s="12" t="s">
        <v>2426</v>
      </c>
      <c r="B82" s="12" t="s">
        <v>2427</v>
      </c>
      <c r="C82" s="12" t="s">
        <v>122</v>
      </c>
      <c r="D82" s="12" t="s">
        <v>34</v>
      </c>
      <c r="E82" s="12" t="s">
        <v>2414</v>
      </c>
      <c r="F82" s="28" t="s">
        <v>216</v>
      </c>
      <c r="G82" s="28" t="s">
        <v>2430</v>
      </c>
      <c r="H82" s="12" t="s">
        <v>2431</v>
      </c>
      <c r="I82" s="12" t="s">
        <v>63</v>
      </c>
      <c r="J82" s="12" t="s">
        <v>64</v>
      </c>
      <c r="K82" s="12" t="s">
        <v>228</v>
      </c>
      <c r="L82" s="12" t="s">
        <v>198</v>
      </c>
      <c r="M82" s="12" t="s">
        <v>2428</v>
      </c>
      <c r="N82" s="12" t="s">
        <v>2429</v>
      </c>
      <c r="O82" s="12" t="s">
        <v>586</v>
      </c>
      <c r="P82" s="12" t="s">
        <v>3325</v>
      </c>
      <c r="Q82" s="12" t="s">
        <v>3389</v>
      </c>
      <c r="R82" s="12"/>
      <c r="S82" s="12" t="s">
        <v>3390</v>
      </c>
      <c r="T82" s="12" t="s">
        <v>3391</v>
      </c>
    </row>
    <row r="83" spans="1:20" ht="56" x14ac:dyDescent="0.35">
      <c r="A83" s="12" t="s">
        <v>587</v>
      </c>
      <c r="B83" s="12" t="s">
        <v>572</v>
      </c>
      <c r="C83" s="12" t="s">
        <v>122</v>
      </c>
      <c r="D83" s="12" t="s">
        <v>33</v>
      </c>
      <c r="E83" s="12"/>
      <c r="F83" s="28" t="s">
        <v>202</v>
      </c>
      <c r="G83" s="28" t="s">
        <v>591</v>
      </c>
      <c r="H83" s="12" t="s">
        <v>204</v>
      </c>
      <c r="I83" s="12" t="s">
        <v>59</v>
      </c>
      <c r="J83" s="12" t="s">
        <v>60</v>
      </c>
      <c r="K83" s="12" t="s">
        <v>430</v>
      </c>
      <c r="L83" s="12" t="s">
        <v>386</v>
      </c>
      <c r="M83" s="12" t="s">
        <v>588</v>
      </c>
      <c r="N83" s="12" t="s">
        <v>589</v>
      </c>
      <c r="O83" s="12" t="s">
        <v>590</v>
      </c>
      <c r="P83" s="12"/>
      <c r="Q83" s="12"/>
      <c r="R83" s="12" t="s">
        <v>3250</v>
      </c>
      <c r="S83" s="12"/>
      <c r="T83" s="12" t="s">
        <v>3392</v>
      </c>
    </row>
    <row r="84" spans="1:20" ht="28" x14ac:dyDescent="0.35">
      <c r="A84" s="12" t="s">
        <v>592</v>
      </c>
      <c r="B84" s="12" t="s">
        <v>593</v>
      </c>
      <c r="C84" s="12" t="s">
        <v>122</v>
      </c>
      <c r="D84" s="12" t="s">
        <v>33</v>
      </c>
      <c r="E84" s="12"/>
      <c r="F84" s="28" t="s">
        <v>209</v>
      </c>
      <c r="G84" s="28" t="s">
        <v>596</v>
      </c>
      <c r="H84" s="12" t="s">
        <v>597</v>
      </c>
      <c r="I84" s="12" t="s">
        <v>55</v>
      </c>
      <c r="J84" s="12" t="s">
        <v>56</v>
      </c>
      <c r="K84" s="12" t="s">
        <v>228</v>
      </c>
      <c r="L84" s="12" t="s">
        <v>198</v>
      </c>
      <c r="M84" s="12" t="s">
        <v>594</v>
      </c>
      <c r="N84" s="12" t="s">
        <v>595</v>
      </c>
      <c r="O84" s="12" t="s">
        <v>590</v>
      </c>
      <c r="P84" s="12"/>
      <c r="Q84" s="12"/>
      <c r="R84" s="12"/>
      <c r="S84" s="12"/>
      <c r="T84" s="12" t="s">
        <v>3393</v>
      </c>
    </row>
    <row r="85" spans="1:20" ht="56" x14ac:dyDescent="0.35">
      <c r="A85" s="12" t="s">
        <v>2432</v>
      </c>
      <c r="B85" s="18" t="s">
        <v>2433</v>
      </c>
      <c r="C85" s="12" t="s">
        <v>122</v>
      </c>
      <c r="D85" s="12" t="s">
        <v>33</v>
      </c>
      <c r="E85" s="12"/>
      <c r="F85" s="28" t="s">
        <v>209</v>
      </c>
      <c r="G85" s="29" t="s">
        <v>4160</v>
      </c>
      <c r="H85" s="12" t="s">
        <v>2436</v>
      </c>
      <c r="I85" s="12" t="s">
        <v>67</v>
      </c>
      <c r="J85" s="12" t="s">
        <v>68</v>
      </c>
      <c r="K85" s="12" t="s">
        <v>228</v>
      </c>
      <c r="L85" s="12" t="s">
        <v>198</v>
      </c>
      <c r="M85" s="12" t="s">
        <v>2434</v>
      </c>
      <c r="N85" s="12" t="s">
        <v>2435</v>
      </c>
      <c r="O85" s="12" t="s">
        <v>602</v>
      </c>
      <c r="P85" s="22" t="s">
        <v>4153</v>
      </c>
      <c r="Q85" s="24" t="s">
        <v>4157</v>
      </c>
      <c r="R85" s="18"/>
      <c r="S85" s="12"/>
      <c r="T85" s="12" t="s">
        <v>3394</v>
      </c>
    </row>
    <row r="86" spans="1:20" ht="28" x14ac:dyDescent="0.35">
      <c r="A86" s="12" t="s">
        <v>598</v>
      </c>
      <c r="B86" s="12" t="s">
        <v>599</v>
      </c>
      <c r="C86" s="12" t="s">
        <v>122</v>
      </c>
      <c r="D86" s="12" t="s">
        <v>33</v>
      </c>
      <c r="E86" s="12"/>
      <c r="F86" s="28" t="s">
        <v>202</v>
      </c>
      <c r="G86" s="28" t="s">
        <v>371</v>
      </c>
      <c r="H86" s="12" t="s">
        <v>204</v>
      </c>
      <c r="I86" s="12" t="s">
        <v>55</v>
      </c>
      <c r="J86" s="12" t="s">
        <v>56</v>
      </c>
      <c r="K86" s="12" t="s">
        <v>308</v>
      </c>
      <c r="L86" s="12" t="s">
        <v>259</v>
      </c>
      <c r="M86" s="12" t="s">
        <v>600</v>
      </c>
      <c r="N86" s="12" t="s">
        <v>601</v>
      </c>
      <c r="O86" s="12" t="s">
        <v>602</v>
      </c>
      <c r="P86" s="12"/>
      <c r="Q86" s="12"/>
      <c r="R86" s="12" t="s">
        <v>3250</v>
      </c>
      <c r="S86" s="12"/>
      <c r="T86" s="12" t="s">
        <v>3395</v>
      </c>
    </row>
    <row r="87" spans="1:20" ht="28" x14ac:dyDescent="0.35">
      <c r="A87" s="12" t="s">
        <v>603</v>
      </c>
      <c r="B87" s="12" t="s">
        <v>604</v>
      </c>
      <c r="C87" s="12" t="s">
        <v>122</v>
      </c>
      <c r="D87" s="12" t="s">
        <v>33</v>
      </c>
      <c r="E87" s="12"/>
      <c r="F87" s="28" t="s">
        <v>209</v>
      </c>
      <c r="G87" s="28" t="s">
        <v>607</v>
      </c>
      <c r="H87" s="12" t="s">
        <v>608</v>
      </c>
      <c r="I87" s="12" t="s">
        <v>53</v>
      </c>
      <c r="J87" s="12" t="s">
        <v>54</v>
      </c>
      <c r="K87" s="12" t="s">
        <v>308</v>
      </c>
      <c r="L87" s="12" t="s">
        <v>259</v>
      </c>
      <c r="M87" s="12" t="s">
        <v>605</v>
      </c>
      <c r="N87" s="12" t="s">
        <v>606</v>
      </c>
      <c r="O87" s="12" t="s">
        <v>602</v>
      </c>
      <c r="P87" s="12"/>
      <c r="Q87" s="12"/>
      <c r="R87" s="12"/>
      <c r="S87" s="12" t="s">
        <v>3396</v>
      </c>
      <c r="T87" s="12" t="s">
        <v>3397</v>
      </c>
    </row>
    <row r="88" spans="1:20" ht="28" x14ac:dyDescent="0.35">
      <c r="A88" s="12" t="s">
        <v>609</v>
      </c>
      <c r="B88" s="12" t="s">
        <v>610</v>
      </c>
      <c r="C88" s="12" t="s">
        <v>122</v>
      </c>
      <c r="D88" s="12" t="s">
        <v>33</v>
      </c>
      <c r="E88" s="12"/>
      <c r="F88" s="28" t="s">
        <v>209</v>
      </c>
      <c r="G88" s="28" t="s">
        <v>614</v>
      </c>
      <c r="H88" s="12" t="s">
        <v>615</v>
      </c>
      <c r="I88" s="12" t="s">
        <v>53</v>
      </c>
      <c r="J88" s="12" t="s">
        <v>54</v>
      </c>
      <c r="K88" s="12" t="s">
        <v>228</v>
      </c>
      <c r="L88" s="12" t="s">
        <v>198</v>
      </c>
      <c r="M88" s="12" t="s">
        <v>611</v>
      </c>
      <c r="N88" s="12" t="s">
        <v>612</v>
      </c>
      <c r="O88" s="12" t="s">
        <v>613</v>
      </c>
      <c r="P88" s="12"/>
      <c r="Q88" s="12"/>
      <c r="R88" s="12"/>
      <c r="S88" s="12" t="s">
        <v>3398</v>
      </c>
      <c r="T88" s="12" t="s">
        <v>3399</v>
      </c>
    </row>
    <row r="89" spans="1:20" x14ac:dyDescent="0.35">
      <c r="A89" s="12" t="s">
        <v>616</v>
      </c>
      <c r="B89" s="12" t="s">
        <v>617</v>
      </c>
      <c r="C89" s="12" t="s">
        <v>122</v>
      </c>
      <c r="D89" s="12" t="s">
        <v>33</v>
      </c>
      <c r="E89" s="12"/>
      <c r="F89" s="28" t="s">
        <v>209</v>
      </c>
      <c r="G89" s="28" t="s">
        <v>620</v>
      </c>
      <c r="H89" s="12" t="s">
        <v>621</v>
      </c>
      <c r="I89" s="12" t="s">
        <v>53</v>
      </c>
      <c r="J89" s="12" t="s">
        <v>54</v>
      </c>
      <c r="K89" s="12" t="s">
        <v>228</v>
      </c>
      <c r="L89" s="12" t="s">
        <v>198</v>
      </c>
      <c r="M89" s="12" t="s">
        <v>618</v>
      </c>
      <c r="N89" s="12" t="s">
        <v>619</v>
      </c>
      <c r="O89" s="12" t="s">
        <v>613</v>
      </c>
      <c r="P89" s="12"/>
      <c r="Q89" s="12"/>
      <c r="R89" s="12"/>
      <c r="S89" s="12" t="s">
        <v>3400</v>
      </c>
      <c r="T89" s="12" t="s">
        <v>3401</v>
      </c>
    </row>
    <row r="90" spans="1:20" ht="56" x14ac:dyDescent="0.35">
      <c r="A90" s="12" t="s">
        <v>622</v>
      </c>
      <c r="B90" s="12" t="s">
        <v>623</v>
      </c>
      <c r="C90" s="12" t="s">
        <v>122</v>
      </c>
      <c r="D90" s="12" t="s">
        <v>33</v>
      </c>
      <c r="E90" s="12"/>
      <c r="F90" s="28" t="s">
        <v>202</v>
      </c>
      <c r="G90" s="28" t="s">
        <v>627</v>
      </c>
      <c r="H90" s="12" t="s">
        <v>204</v>
      </c>
      <c r="I90" s="12" t="s">
        <v>53</v>
      </c>
      <c r="J90" s="12" t="s">
        <v>54</v>
      </c>
      <c r="K90" s="12" t="s">
        <v>228</v>
      </c>
      <c r="L90" s="12" t="s">
        <v>198</v>
      </c>
      <c r="M90" s="12" t="s">
        <v>624</v>
      </c>
      <c r="N90" s="12" t="s">
        <v>625</v>
      </c>
      <c r="O90" s="12" t="s">
        <v>626</v>
      </c>
      <c r="P90" s="12"/>
      <c r="Q90" s="12"/>
      <c r="R90" s="12" t="s">
        <v>3293</v>
      </c>
      <c r="S90" s="12" t="s">
        <v>3402</v>
      </c>
      <c r="T90" s="12" t="s">
        <v>3403</v>
      </c>
    </row>
    <row r="91" spans="1:20" ht="56" x14ac:dyDescent="0.35">
      <c r="A91" s="12" t="s">
        <v>628</v>
      </c>
      <c r="B91" s="12" t="s">
        <v>629</v>
      </c>
      <c r="C91" s="12" t="s">
        <v>122</v>
      </c>
      <c r="D91" s="12" t="s">
        <v>33</v>
      </c>
      <c r="E91" s="12"/>
      <c r="F91" s="28" t="s">
        <v>202</v>
      </c>
      <c r="G91" s="28" t="s">
        <v>632</v>
      </c>
      <c r="H91" s="12" t="s">
        <v>204</v>
      </c>
      <c r="I91" s="12" t="s">
        <v>55</v>
      </c>
      <c r="J91" s="12" t="s">
        <v>56</v>
      </c>
      <c r="K91" s="12" t="s">
        <v>228</v>
      </c>
      <c r="L91" s="12" t="s">
        <v>198</v>
      </c>
      <c r="M91" s="12" t="s">
        <v>630</v>
      </c>
      <c r="N91" s="12" t="s">
        <v>631</v>
      </c>
      <c r="O91" s="12" t="s">
        <v>626</v>
      </c>
      <c r="P91" s="12"/>
      <c r="Q91" s="12"/>
      <c r="R91" s="12" t="s">
        <v>3293</v>
      </c>
      <c r="S91" s="12"/>
      <c r="T91" s="12" t="s">
        <v>3404</v>
      </c>
    </row>
    <row r="92" spans="1:20" ht="28" x14ac:dyDescent="0.35">
      <c r="A92" s="12" t="s">
        <v>633</v>
      </c>
      <c r="B92" s="12" t="s">
        <v>634</v>
      </c>
      <c r="C92" s="12" t="s">
        <v>122</v>
      </c>
      <c r="D92" s="12" t="s">
        <v>33</v>
      </c>
      <c r="E92" s="12"/>
      <c r="F92" s="28" t="s">
        <v>202</v>
      </c>
      <c r="G92" s="28" t="s">
        <v>229</v>
      </c>
      <c r="H92" s="12" t="s">
        <v>204</v>
      </c>
      <c r="I92" s="12" t="s">
        <v>53</v>
      </c>
      <c r="J92" s="12" t="s">
        <v>54</v>
      </c>
      <c r="K92" s="12" t="s">
        <v>331</v>
      </c>
      <c r="L92" s="12" t="s">
        <v>239</v>
      </c>
      <c r="M92" s="12" t="s">
        <v>635</v>
      </c>
      <c r="N92" s="12" t="s">
        <v>636</v>
      </c>
      <c r="O92" s="12" t="s">
        <v>626</v>
      </c>
      <c r="P92" s="12"/>
      <c r="Q92" s="12"/>
      <c r="R92" s="12" t="s">
        <v>3250</v>
      </c>
      <c r="S92" s="12"/>
      <c r="T92" s="12" t="s">
        <v>3405</v>
      </c>
    </row>
    <row r="93" spans="1:20" ht="56" x14ac:dyDescent="0.35">
      <c r="A93" s="12" t="s">
        <v>637</v>
      </c>
      <c r="B93" s="12" t="s">
        <v>638</v>
      </c>
      <c r="C93" s="12" t="s">
        <v>122</v>
      </c>
      <c r="D93" s="12" t="s">
        <v>33</v>
      </c>
      <c r="E93" s="12"/>
      <c r="F93" s="28" t="s">
        <v>202</v>
      </c>
      <c r="G93" s="28" t="s">
        <v>641</v>
      </c>
      <c r="H93" s="12" t="s">
        <v>204</v>
      </c>
      <c r="I93" s="12" t="s">
        <v>53</v>
      </c>
      <c r="J93" s="12" t="s">
        <v>54</v>
      </c>
      <c r="K93" s="12" t="s">
        <v>228</v>
      </c>
      <c r="L93" s="12" t="s">
        <v>198</v>
      </c>
      <c r="M93" s="12" t="s">
        <v>639</v>
      </c>
      <c r="N93" s="12" t="s">
        <v>640</v>
      </c>
      <c r="O93" s="12" t="s">
        <v>626</v>
      </c>
      <c r="P93" s="12"/>
      <c r="Q93" s="12"/>
      <c r="R93" s="12" t="s">
        <v>3406</v>
      </c>
      <c r="S93" s="12"/>
      <c r="T93" s="12" t="s">
        <v>3407</v>
      </c>
    </row>
    <row r="94" spans="1:20" x14ac:dyDescent="0.35">
      <c r="A94" s="12" t="s">
        <v>642</v>
      </c>
      <c r="B94" s="12" t="s">
        <v>643</v>
      </c>
      <c r="C94" s="12" t="s">
        <v>122</v>
      </c>
      <c r="D94" s="12" t="s">
        <v>33</v>
      </c>
      <c r="E94" s="12"/>
      <c r="F94" s="28" t="s">
        <v>209</v>
      </c>
      <c r="G94" s="28" t="s">
        <v>646</v>
      </c>
      <c r="H94" s="12" t="s">
        <v>647</v>
      </c>
      <c r="I94" s="12" t="s">
        <v>53</v>
      </c>
      <c r="J94" s="12" t="s">
        <v>54</v>
      </c>
      <c r="K94" s="12" t="s">
        <v>228</v>
      </c>
      <c r="L94" s="12" t="s">
        <v>198</v>
      </c>
      <c r="M94" s="12" t="s">
        <v>644</v>
      </c>
      <c r="N94" s="12" t="s">
        <v>645</v>
      </c>
      <c r="O94" s="12" t="s">
        <v>626</v>
      </c>
      <c r="P94" s="12"/>
      <c r="Q94" s="12"/>
      <c r="R94" s="12"/>
      <c r="S94" s="12" t="s">
        <v>3408</v>
      </c>
      <c r="T94" s="12" t="s">
        <v>3409</v>
      </c>
    </row>
    <row r="95" spans="1:20" ht="28" x14ac:dyDescent="0.35">
      <c r="A95" s="12" t="s">
        <v>648</v>
      </c>
      <c r="B95" s="12" t="s">
        <v>649</v>
      </c>
      <c r="C95" s="12" t="s">
        <v>122</v>
      </c>
      <c r="D95" s="12" t="s">
        <v>33</v>
      </c>
      <c r="E95" s="12"/>
      <c r="F95" s="28" t="s">
        <v>202</v>
      </c>
      <c r="G95" s="28" t="s">
        <v>229</v>
      </c>
      <c r="H95" s="12" t="s">
        <v>204</v>
      </c>
      <c r="I95" s="12" t="s">
        <v>53</v>
      </c>
      <c r="J95" s="12" t="s">
        <v>54</v>
      </c>
      <c r="K95" s="12" t="s">
        <v>308</v>
      </c>
      <c r="L95" s="12" t="s">
        <v>259</v>
      </c>
      <c r="M95" s="12" t="s">
        <v>650</v>
      </c>
      <c r="N95" s="12" t="s">
        <v>651</v>
      </c>
      <c r="O95" s="12" t="s">
        <v>626</v>
      </c>
      <c r="P95" s="12"/>
      <c r="Q95" s="12"/>
      <c r="R95" s="12" t="s">
        <v>3250</v>
      </c>
      <c r="S95" s="12"/>
      <c r="T95" s="12" t="s">
        <v>3410</v>
      </c>
    </row>
    <row r="96" spans="1:20" ht="56" x14ac:dyDescent="0.35">
      <c r="A96" s="12" t="s">
        <v>652</v>
      </c>
      <c r="B96" s="12" t="s">
        <v>653</v>
      </c>
      <c r="C96" s="12" t="s">
        <v>122</v>
      </c>
      <c r="D96" s="12" t="s">
        <v>33</v>
      </c>
      <c r="E96" s="12"/>
      <c r="F96" s="28" t="s">
        <v>202</v>
      </c>
      <c r="G96" s="28" t="s">
        <v>654</v>
      </c>
      <c r="H96" s="12" t="s">
        <v>204</v>
      </c>
      <c r="I96" s="12" t="s">
        <v>53</v>
      </c>
      <c r="J96" s="12" t="s">
        <v>54</v>
      </c>
      <c r="K96" s="12" t="s">
        <v>331</v>
      </c>
      <c r="L96" s="12" t="s">
        <v>239</v>
      </c>
      <c r="M96" s="12" t="s">
        <v>630</v>
      </c>
      <c r="N96" s="12" t="s">
        <v>631</v>
      </c>
      <c r="O96" s="12" t="s">
        <v>626</v>
      </c>
      <c r="P96" s="12"/>
      <c r="Q96" s="12"/>
      <c r="R96" s="12" t="s">
        <v>3250</v>
      </c>
      <c r="S96" s="12"/>
      <c r="T96" s="12" t="s">
        <v>3284</v>
      </c>
    </row>
    <row r="97" spans="1:20" x14ac:dyDescent="0.35">
      <c r="A97" s="12" t="s">
        <v>2437</v>
      </c>
      <c r="B97" s="12" t="s">
        <v>2438</v>
      </c>
      <c r="C97" s="12" t="s">
        <v>122</v>
      </c>
      <c r="D97" s="12" t="s">
        <v>33</v>
      </c>
      <c r="E97" s="12" t="s">
        <v>2439</v>
      </c>
      <c r="F97" s="28" t="s">
        <v>209</v>
      </c>
      <c r="G97" s="28" t="s">
        <v>2441</v>
      </c>
      <c r="H97" s="12" t="s">
        <v>2442</v>
      </c>
      <c r="I97" s="12" t="s">
        <v>53</v>
      </c>
      <c r="J97" s="12" t="s">
        <v>54</v>
      </c>
      <c r="K97" s="12" t="s">
        <v>308</v>
      </c>
      <c r="L97" s="12" t="s">
        <v>259</v>
      </c>
      <c r="M97" s="12" t="s">
        <v>2440</v>
      </c>
      <c r="N97" s="12" t="s">
        <v>651</v>
      </c>
      <c r="O97" s="12" t="s">
        <v>626</v>
      </c>
      <c r="P97" s="12" t="s">
        <v>3411</v>
      </c>
      <c r="Q97" s="12" t="s">
        <v>3412</v>
      </c>
      <c r="R97" s="12"/>
      <c r="S97" s="12"/>
      <c r="T97" s="12" t="s">
        <v>3413</v>
      </c>
    </row>
    <row r="98" spans="1:20" ht="28" x14ac:dyDescent="0.35">
      <c r="A98" s="12" t="s">
        <v>655</v>
      </c>
      <c r="B98" s="12" t="s">
        <v>656</v>
      </c>
      <c r="C98" s="12" t="s">
        <v>122</v>
      </c>
      <c r="D98" s="12" t="s">
        <v>33</v>
      </c>
      <c r="E98" s="12"/>
      <c r="F98" s="28" t="s">
        <v>202</v>
      </c>
      <c r="G98" s="28" t="s">
        <v>657</v>
      </c>
      <c r="H98" s="12" t="s">
        <v>658</v>
      </c>
      <c r="I98" s="12" t="s">
        <v>53</v>
      </c>
      <c r="J98" s="12" t="s">
        <v>54</v>
      </c>
      <c r="K98" s="12" t="s">
        <v>308</v>
      </c>
      <c r="L98" s="12" t="s">
        <v>259</v>
      </c>
      <c r="M98" s="12" t="s">
        <v>630</v>
      </c>
      <c r="N98" s="12" t="s">
        <v>631</v>
      </c>
      <c r="O98" s="12" t="s">
        <v>626</v>
      </c>
      <c r="P98" s="12"/>
      <c r="Q98" s="12"/>
      <c r="R98" s="12" t="s">
        <v>3414</v>
      </c>
      <c r="S98" s="12"/>
      <c r="T98" s="12" t="s">
        <v>3415</v>
      </c>
    </row>
    <row r="99" spans="1:20" ht="28" x14ac:dyDescent="0.35">
      <c r="A99" s="12" t="s">
        <v>659</v>
      </c>
      <c r="B99" s="12" t="s">
        <v>660</v>
      </c>
      <c r="C99" s="12" t="s">
        <v>122</v>
      </c>
      <c r="D99" s="12" t="s">
        <v>33</v>
      </c>
      <c r="E99" s="12"/>
      <c r="F99" s="28" t="s">
        <v>202</v>
      </c>
      <c r="G99" s="28" t="s">
        <v>371</v>
      </c>
      <c r="H99" s="12" t="s">
        <v>204</v>
      </c>
      <c r="I99" s="12" t="s">
        <v>55</v>
      </c>
      <c r="J99" s="12" t="s">
        <v>56</v>
      </c>
      <c r="K99" s="12" t="s">
        <v>308</v>
      </c>
      <c r="L99" s="12" t="s">
        <v>259</v>
      </c>
      <c r="M99" s="12" t="s">
        <v>661</v>
      </c>
      <c r="N99" s="12" t="s">
        <v>662</v>
      </c>
      <c r="O99" s="12" t="s">
        <v>626</v>
      </c>
      <c r="P99" s="12"/>
      <c r="Q99" s="12"/>
      <c r="R99" s="12" t="s">
        <v>3250</v>
      </c>
      <c r="S99" s="12"/>
      <c r="T99" s="12" t="s">
        <v>3416</v>
      </c>
    </row>
    <row r="100" spans="1:20" ht="28" x14ac:dyDescent="0.35">
      <c r="A100" s="12" t="s">
        <v>2443</v>
      </c>
      <c r="B100" s="12" t="s">
        <v>2444</v>
      </c>
      <c r="C100" s="12" t="s">
        <v>122</v>
      </c>
      <c r="D100" s="12" t="s">
        <v>33</v>
      </c>
      <c r="E100" s="12" t="s">
        <v>2403</v>
      </c>
      <c r="F100" s="28" t="s">
        <v>209</v>
      </c>
      <c r="G100" s="28" t="s">
        <v>2447</v>
      </c>
      <c r="H100" s="12" t="s">
        <v>2448</v>
      </c>
      <c r="I100" s="12" t="s">
        <v>53</v>
      </c>
      <c r="J100" s="12" t="s">
        <v>54</v>
      </c>
      <c r="K100" s="12" t="s">
        <v>308</v>
      </c>
      <c r="L100" s="12" t="s">
        <v>259</v>
      </c>
      <c r="M100" s="12" t="s">
        <v>2445</v>
      </c>
      <c r="N100" s="12" t="s">
        <v>2446</v>
      </c>
      <c r="O100" s="12" t="s">
        <v>667</v>
      </c>
      <c r="P100" s="12" t="s">
        <v>3292</v>
      </c>
      <c r="Q100" s="12" t="s">
        <v>3417</v>
      </c>
      <c r="R100" s="12"/>
      <c r="S100" s="12" t="s">
        <v>3418</v>
      </c>
      <c r="T100" s="12" t="s">
        <v>3419</v>
      </c>
    </row>
    <row r="101" spans="1:20" ht="28" x14ac:dyDescent="0.35">
      <c r="A101" s="12" t="s">
        <v>663</v>
      </c>
      <c r="B101" s="12" t="s">
        <v>664</v>
      </c>
      <c r="C101" s="12" t="s">
        <v>122</v>
      </c>
      <c r="D101" s="12" t="s">
        <v>33</v>
      </c>
      <c r="E101" s="12"/>
      <c r="F101" s="28" t="s">
        <v>202</v>
      </c>
      <c r="G101" s="28" t="s">
        <v>318</v>
      </c>
      <c r="H101" s="12" t="s">
        <v>204</v>
      </c>
      <c r="I101" s="12" t="s">
        <v>61</v>
      </c>
      <c r="J101" s="12" t="s">
        <v>62</v>
      </c>
      <c r="K101" s="12" t="s">
        <v>228</v>
      </c>
      <c r="L101" s="12" t="s">
        <v>198</v>
      </c>
      <c r="M101" s="12" t="s">
        <v>665</v>
      </c>
      <c r="N101" s="12" t="s">
        <v>666</v>
      </c>
      <c r="O101" s="12" t="s">
        <v>667</v>
      </c>
      <c r="P101" s="12"/>
      <c r="Q101" s="12"/>
      <c r="R101" s="12" t="s">
        <v>3250</v>
      </c>
      <c r="S101" s="12"/>
      <c r="T101" s="12" t="s">
        <v>3420</v>
      </c>
    </row>
    <row r="102" spans="1:20" x14ac:dyDescent="0.35">
      <c r="A102" s="12" t="s">
        <v>668</v>
      </c>
      <c r="B102" s="12" t="s">
        <v>669</v>
      </c>
      <c r="C102" s="12" t="s">
        <v>122</v>
      </c>
      <c r="D102" s="12" t="s">
        <v>33</v>
      </c>
      <c r="E102" s="12"/>
      <c r="F102" s="28" t="s">
        <v>209</v>
      </c>
      <c r="G102" s="28" t="s">
        <v>672</v>
      </c>
      <c r="H102" s="12" t="s">
        <v>673</v>
      </c>
      <c r="I102" s="12" t="s">
        <v>61</v>
      </c>
      <c r="J102" s="12" t="s">
        <v>62</v>
      </c>
      <c r="K102" s="12" t="s">
        <v>308</v>
      </c>
      <c r="L102" s="12" t="s">
        <v>259</v>
      </c>
      <c r="M102" s="12" t="s">
        <v>670</v>
      </c>
      <c r="N102" s="12" t="s">
        <v>671</v>
      </c>
      <c r="O102" s="12" t="s">
        <v>667</v>
      </c>
      <c r="P102" s="12"/>
      <c r="Q102" s="12"/>
      <c r="R102" s="12"/>
      <c r="S102" s="12"/>
      <c r="T102" s="12" t="s">
        <v>3421</v>
      </c>
    </row>
    <row r="103" spans="1:20" ht="28" x14ac:dyDescent="0.35">
      <c r="A103" s="12" t="s">
        <v>674</v>
      </c>
      <c r="B103" s="12" t="s">
        <v>675</v>
      </c>
      <c r="C103" s="12" t="s">
        <v>122</v>
      </c>
      <c r="D103" s="12" t="s">
        <v>33</v>
      </c>
      <c r="E103" s="12"/>
      <c r="F103" s="28" t="s">
        <v>202</v>
      </c>
      <c r="G103" s="28" t="s">
        <v>473</v>
      </c>
      <c r="H103" s="12" t="s">
        <v>204</v>
      </c>
      <c r="I103" s="12" t="s">
        <v>67</v>
      </c>
      <c r="J103" s="12" t="s">
        <v>68</v>
      </c>
      <c r="K103" s="12" t="s">
        <v>308</v>
      </c>
      <c r="L103" s="12" t="s">
        <v>259</v>
      </c>
      <c r="M103" s="12" t="s">
        <v>665</v>
      </c>
      <c r="N103" s="12" t="s">
        <v>666</v>
      </c>
      <c r="O103" s="12" t="s">
        <v>667</v>
      </c>
      <c r="P103" s="12"/>
      <c r="Q103" s="12"/>
      <c r="R103" s="12" t="s">
        <v>3250</v>
      </c>
      <c r="S103" s="12" t="s">
        <v>3422</v>
      </c>
      <c r="T103" s="12" t="s">
        <v>3423</v>
      </c>
    </row>
    <row r="104" spans="1:20" ht="42" x14ac:dyDescent="0.35">
      <c r="A104" s="12" t="s">
        <v>676</v>
      </c>
      <c r="B104" s="12" t="s">
        <v>677</v>
      </c>
      <c r="C104" s="12" t="s">
        <v>122</v>
      </c>
      <c r="D104" s="12" t="s">
        <v>33</v>
      </c>
      <c r="E104" s="12"/>
      <c r="F104" s="28" t="s">
        <v>202</v>
      </c>
      <c r="G104" s="28" t="s">
        <v>680</v>
      </c>
      <c r="H104" s="12" t="s">
        <v>204</v>
      </c>
      <c r="I104" s="12" t="s">
        <v>59</v>
      </c>
      <c r="J104" s="12" t="s">
        <v>60</v>
      </c>
      <c r="K104" s="12" t="s">
        <v>228</v>
      </c>
      <c r="L104" s="12" t="s">
        <v>198</v>
      </c>
      <c r="M104" s="12" t="s">
        <v>678</v>
      </c>
      <c r="N104" s="12" t="s">
        <v>679</v>
      </c>
      <c r="O104" s="12" t="s">
        <v>667</v>
      </c>
      <c r="P104" s="12"/>
      <c r="Q104" s="12"/>
      <c r="R104" s="12" t="s">
        <v>3250</v>
      </c>
      <c r="S104" s="12"/>
      <c r="T104" s="12" t="s">
        <v>3424</v>
      </c>
    </row>
    <row r="105" spans="1:20" x14ac:dyDescent="0.35">
      <c r="A105" s="12" t="s">
        <v>2449</v>
      </c>
      <c r="B105" s="12" t="s">
        <v>2450</v>
      </c>
      <c r="C105" s="12" t="s">
        <v>122</v>
      </c>
      <c r="D105" s="12" t="s">
        <v>33</v>
      </c>
      <c r="E105" s="12" t="s">
        <v>2403</v>
      </c>
      <c r="F105" s="28" t="s">
        <v>209</v>
      </c>
      <c r="G105" s="28" t="s">
        <v>2451</v>
      </c>
      <c r="H105" s="12" t="s">
        <v>2452</v>
      </c>
      <c r="I105" s="12" t="s">
        <v>67</v>
      </c>
      <c r="J105" s="12" t="s">
        <v>68</v>
      </c>
      <c r="K105" s="12" t="s">
        <v>228</v>
      </c>
      <c r="L105" s="12" t="s">
        <v>198</v>
      </c>
      <c r="M105" s="12" t="s">
        <v>688</v>
      </c>
      <c r="N105" s="12" t="s">
        <v>689</v>
      </c>
      <c r="O105" s="12" t="s">
        <v>667</v>
      </c>
      <c r="P105" s="12" t="s">
        <v>3292</v>
      </c>
      <c r="Q105" s="12" t="s">
        <v>3425</v>
      </c>
      <c r="R105" s="12"/>
      <c r="S105" s="12" t="s">
        <v>3426</v>
      </c>
      <c r="T105" s="12" t="s">
        <v>3427</v>
      </c>
    </row>
    <row r="106" spans="1:20" ht="70" x14ac:dyDescent="0.35">
      <c r="A106" s="12" t="s">
        <v>681</v>
      </c>
      <c r="B106" s="12" t="s">
        <v>682</v>
      </c>
      <c r="C106" s="12" t="s">
        <v>122</v>
      </c>
      <c r="D106" s="12" t="s">
        <v>33</v>
      </c>
      <c r="E106" s="12"/>
      <c r="F106" s="28" t="s">
        <v>202</v>
      </c>
      <c r="G106" s="28" t="s">
        <v>685</v>
      </c>
      <c r="H106" s="12" t="s">
        <v>204</v>
      </c>
      <c r="I106" s="12" t="s">
        <v>55</v>
      </c>
      <c r="J106" s="12" t="s">
        <v>56</v>
      </c>
      <c r="K106" s="12" t="s">
        <v>228</v>
      </c>
      <c r="L106" s="12" t="s">
        <v>198</v>
      </c>
      <c r="M106" s="12" t="s">
        <v>683</v>
      </c>
      <c r="N106" s="12" t="s">
        <v>684</v>
      </c>
      <c r="O106" s="12" t="s">
        <v>667</v>
      </c>
      <c r="P106" s="12"/>
      <c r="Q106" s="12"/>
      <c r="R106" s="12" t="s">
        <v>3250</v>
      </c>
      <c r="S106" s="12"/>
      <c r="T106" s="12" t="s">
        <v>3428</v>
      </c>
    </row>
    <row r="107" spans="1:20" ht="28" x14ac:dyDescent="0.35">
      <c r="A107" s="12" t="s">
        <v>686</v>
      </c>
      <c r="B107" s="12" t="s">
        <v>687</v>
      </c>
      <c r="C107" s="12" t="s">
        <v>122</v>
      </c>
      <c r="D107" s="12" t="s">
        <v>33</v>
      </c>
      <c r="E107" s="12"/>
      <c r="F107" s="28" t="s">
        <v>209</v>
      </c>
      <c r="G107" s="28" t="s">
        <v>690</v>
      </c>
      <c r="H107" s="12" t="s">
        <v>691</v>
      </c>
      <c r="I107" s="12" t="s">
        <v>53</v>
      </c>
      <c r="J107" s="12" t="s">
        <v>54</v>
      </c>
      <c r="K107" s="12" t="s">
        <v>331</v>
      </c>
      <c r="L107" s="12" t="s">
        <v>239</v>
      </c>
      <c r="M107" s="12" t="s">
        <v>688</v>
      </c>
      <c r="N107" s="12" t="s">
        <v>689</v>
      </c>
      <c r="O107" s="12" t="s">
        <v>667</v>
      </c>
      <c r="P107" s="12"/>
      <c r="Q107" s="12"/>
      <c r="R107" s="12"/>
      <c r="S107" s="12" t="s">
        <v>3429</v>
      </c>
      <c r="T107" s="12" t="s">
        <v>3337</v>
      </c>
    </row>
    <row r="108" spans="1:20" ht="56" x14ac:dyDescent="0.35">
      <c r="A108" s="12" t="s">
        <v>692</v>
      </c>
      <c r="B108" s="12" t="s">
        <v>693</v>
      </c>
      <c r="C108" s="12" t="s">
        <v>122</v>
      </c>
      <c r="D108" s="12" t="s">
        <v>33</v>
      </c>
      <c r="E108" s="12"/>
      <c r="F108" s="28" t="s">
        <v>694</v>
      </c>
      <c r="G108" s="28" t="s">
        <v>695</v>
      </c>
      <c r="H108" s="12" t="s">
        <v>696</v>
      </c>
      <c r="I108" s="12" t="s">
        <v>53</v>
      </c>
      <c r="J108" s="12" t="s">
        <v>54</v>
      </c>
      <c r="K108" s="12" t="s">
        <v>228</v>
      </c>
      <c r="L108" s="12" t="s">
        <v>198</v>
      </c>
      <c r="M108" s="12" t="s">
        <v>670</v>
      </c>
      <c r="N108" s="12" t="s">
        <v>671</v>
      </c>
      <c r="O108" s="12" t="s">
        <v>667</v>
      </c>
      <c r="P108" s="12"/>
      <c r="Q108" s="12"/>
      <c r="R108" s="12"/>
      <c r="S108" s="12" t="s">
        <v>3430</v>
      </c>
      <c r="T108" s="12" t="s">
        <v>3431</v>
      </c>
    </row>
    <row r="109" spans="1:20" ht="42" x14ac:dyDescent="0.35">
      <c r="A109" s="12" t="s">
        <v>2453</v>
      </c>
      <c r="B109" s="18" t="s">
        <v>2454</v>
      </c>
      <c r="C109" s="12" t="s">
        <v>122</v>
      </c>
      <c r="D109" s="12" t="s">
        <v>33</v>
      </c>
      <c r="E109" s="12"/>
      <c r="F109" s="28" t="s">
        <v>202</v>
      </c>
      <c r="G109" s="28" t="s">
        <v>2457</v>
      </c>
      <c r="H109" s="12" t="s">
        <v>204</v>
      </c>
      <c r="I109" s="12" t="s">
        <v>69</v>
      </c>
      <c r="J109" s="12" t="s">
        <v>70</v>
      </c>
      <c r="K109" s="12" t="s">
        <v>430</v>
      </c>
      <c r="L109" s="12" t="s">
        <v>386</v>
      </c>
      <c r="M109" s="12" t="s">
        <v>2455</v>
      </c>
      <c r="N109" s="12" t="s">
        <v>2456</v>
      </c>
      <c r="O109" s="12" t="s">
        <v>667</v>
      </c>
      <c r="P109" s="12" t="s">
        <v>3654</v>
      </c>
      <c r="Q109" s="24" t="s">
        <v>4158</v>
      </c>
      <c r="R109" s="18" t="s">
        <v>3250</v>
      </c>
      <c r="S109" s="12"/>
      <c r="T109" s="12" t="s">
        <v>3432</v>
      </c>
    </row>
    <row r="110" spans="1:20" ht="28" x14ac:dyDescent="0.35">
      <c r="A110" s="12" t="s">
        <v>697</v>
      </c>
      <c r="B110" s="12" t="s">
        <v>698</v>
      </c>
      <c r="C110" s="12" t="s">
        <v>122</v>
      </c>
      <c r="D110" s="12" t="s">
        <v>33</v>
      </c>
      <c r="E110" s="12"/>
      <c r="F110" s="28" t="s">
        <v>202</v>
      </c>
      <c r="G110" s="28" t="s">
        <v>414</v>
      </c>
      <c r="H110" s="12" t="s">
        <v>204</v>
      </c>
      <c r="I110" s="12" t="s">
        <v>57</v>
      </c>
      <c r="J110" s="12" t="s">
        <v>58</v>
      </c>
      <c r="K110" s="12" t="s">
        <v>308</v>
      </c>
      <c r="L110" s="12" t="s">
        <v>259</v>
      </c>
      <c r="M110" s="12" t="s">
        <v>699</v>
      </c>
      <c r="N110" s="12" t="s">
        <v>700</v>
      </c>
      <c r="O110" s="12" t="s">
        <v>667</v>
      </c>
      <c r="P110" s="12"/>
      <c r="Q110" s="12"/>
      <c r="R110" s="12" t="s">
        <v>3250</v>
      </c>
      <c r="S110" s="12" t="s">
        <v>3433</v>
      </c>
      <c r="T110" s="12" t="s">
        <v>3434</v>
      </c>
    </row>
    <row r="111" spans="1:20" x14ac:dyDescent="0.35">
      <c r="A111" s="12" t="s">
        <v>701</v>
      </c>
      <c r="B111" s="12" t="s">
        <v>702</v>
      </c>
      <c r="C111" s="12" t="s">
        <v>122</v>
      </c>
      <c r="D111" s="12" t="s">
        <v>33</v>
      </c>
      <c r="E111" s="12"/>
      <c r="F111" s="28" t="s">
        <v>209</v>
      </c>
      <c r="G111" s="28" t="s">
        <v>706</v>
      </c>
      <c r="H111" s="12" t="s">
        <v>707</v>
      </c>
      <c r="I111" s="12" t="s">
        <v>67</v>
      </c>
      <c r="J111" s="12" t="s">
        <v>68</v>
      </c>
      <c r="K111" s="12" t="s">
        <v>228</v>
      </c>
      <c r="L111" s="12" t="s">
        <v>198</v>
      </c>
      <c r="M111" s="12" t="s">
        <v>703</v>
      </c>
      <c r="N111" s="12" t="s">
        <v>704</v>
      </c>
      <c r="O111" s="12" t="s">
        <v>705</v>
      </c>
      <c r="P111" s="12"/>
      <c r="Q111" s="12"/>
      <c r="R111" s="12"/>
      <c r="S111" s="12" t="s">
        <v>3435</v>
      </c>
      <c r="T111" s="12" t="s">
        <v>3436</v>
      </c>
    </row>
    <row r="112" spans="1:20" ht="28" x14ac:dyDescent="0.35">
      <c r="A112" s="12" t="s">
        <v>708</v>
      </c>
      <c r="B112" s="12" t="s">
        <v>709</v>
      </c>
      <c r="C112" s="12" t="s">
        <v>122</v>
      </c>
      <c r="D112" s="12" t="s">
        <v>33</v>
      </c>
      <c r="E112" s="12"/>
      <c r="F112" s="28" t="s">
        <v>209</v>
      </c>
      <c r="G112" s="28" t="s">
        <v>712</v>
      </c>
      <c r="H112" s="12" t="s">
        <v>713</v>
      </c>
      <c r="I112" s="12" t="s">
        <v>61</v>
      </c>
      <c r="J112" s="12" t="s">
        <v>62</v>
      </c>
      <c r="K112" s="12" t="s">
        <v>331</v>
      </c>
      <c r="L112" s="12" t="s">
        <v>239</v>
      </c>
      <c r="M112" s="12" t="s">
        <v>710</v>
      </c>
      <c r="N112" s="12" t="s">
        <v>711</v>
      </c>
      <c r="O112" s="12" t="s">
        <v>705</v>
      </c>
      <c r="P112" s="12"/>
      <c r="Q112" s="12"/>
      <c r="R112" s="12"/>
      <c r="S112" s="12" t="s">
        <v>3437</v>
      </c>
      <c r="T112" s="12" t="s">
        <v>3438</v>
      </c>
    </row>
    <row r="113" spans="1:20" ht="28" x14ac:dyDescent="0.35">
      <c r="A113" s="12" t="s">
        <v>2458</v>
      </c>
      <c r="B113" s="12" t="s">
        <v>2459</v>
      </c>
      <c r="C113" s="12" t="s">
        <v>122</v>
      </c>
      <c r="D113" s="12" t="s">
        <v>33</v>
      </c>
      <c r="E113" s="12" t="s">
        <v>2421</v>
      </c>
      <c r="F113" s="28" t="s">
        <v>209</v>
      </c>
      <c r="G113" s="28" t="s">
        <v>2462</v>
      </c>
      <c r="H113" s="12" t="s">
        <v>2463</v>
      </c>
      <c r="I113" s="12" t="s">
        <v>57</v>
      </c>
      <c r="J113" s="12" t="s">
        <v>58</v>
      </c>
      <c r="K113" s="12" t="s">
        <v>430</v>
      </c>
      <c r="L113" s="12" t="s">
        <v>386</v>
      </c>
      <c r="M113" s="12" t="s">
        <v>2460</v>
      </c>
      <c r="N113" s="12" t="s">
        <v>2461</v>
      </c>
      <c r="O113" s="12" t="s">
        <v>705</v>
      </c>
      <c r="P113" s="12" t="s">
        <v>3378</v>
      </c>
      <c r="Q113" s="12" t="s">
        <v>3439</v>
      </c>
      <c r="R113" s="12"/>
      <c r="S113" s="12" t="s">
        <v>3440</v>
      </c>
      <c r="T113" s="12" t="s">
        <v>3441</v>
      </c>
    </row>
    <row r="114" spans="1:20" x14ac:dyDescent="0.35">
      <c r="A114" s="12" t="s">
        <v>714</v>
      </c>
      <c r="B114" s="12" t="s">
        <v>715</v>
      </c>
      <c r="C114" s="12" t="s">
        <v>122</v>
      </c>
      <c r="D114" s="12" t="s">
        <v>33</v>
      </c>
      <c r="E114" s="12"/>
      <c r="F114" s="28" t="s">
        <v>209</v>
      </c>
      <c r="G114" s="28" t="s">
        <v>718</v>
      </c>
      <c r="H114" s="12" t="s">
        <v>719</v>
      </c>
      <c r="I114" s="12" t="s">
        <v>53</v>
      </c>
      <c r="J114" s="12" t="s">
        <v>54</v>
      </c>
      <c r="K114" s="12" t="s">
        <v>308</v>
      </c>
      <c r="L114" s="12" t="s">
        <v>259</v>
      </c>
      <c r="M114" s="12" t="s">
        <v>716</v>
      </c>
      <c r="N114" s="12" t="s">
        <v>717</v>
      </c>
      <c r="O114" s="12" t="s">
        <v>705</v>
      </c>
      <c r="P114" s="12"/>
      <c r="Q114" s="12"/>
      <c r="R114" s="12"/>
      <c r="S114" s="12"/>
      <c r="T114" s="12" t="s">
        <v>3442</v>
      </c>
    </row>
    <row r="115" spans="1:20" ht="56" x14ac:dyDescent="0.35">
      <c r="A115" s="12" t="s">
        <v>720</v>
      </c>
      <c r="B115" s="12" t="s">
        <v>721</v>
      </c>
      <c r="C115" s="12" t="s">
        <v>125</v>
      </c>
      <c r="D115" s="12"/>
      <c r="E115" s="12"/>
      <c r="F115" s="28" t="s">
        <v>4747</v>
      </c>
      <c r="G115" s="28" t="s">
        <v>4748</v>
      </c>
      <c r="H115" s="12" t="s">
        <v>4749</v>
      </c>
      <c r="I115" s="12" t="s">
        <v>55</v>
      </c>
      <c r="J115" s="12" t="s">
        <v>56</v>
      </c>
      <c r="K115" s="12" t="s">
        <v>308</v>
      </c>
      <c r="L115" s="12" t="s">
        <v>259</v>
      </c>
      <c r="M115" s="12" t="s">
        <v>722</v>
      </c>
      <c r="N115" s="12" t="s">
        <v>723</v>
      </c>
      <c r="O115" s="12" t="s">
        <v>724</v>
      </c>
      <c r="P115" s="12"/>
      <c r="Q115" s="12"/>
      <c r="R115" s="12"/>
      <c r="S115" s="12"/>
      <c r="T115" s="12" t="s">
        <v>3443</v>
      </c>
    </row>
    <row r="116" spans="1:20" ht="28" x14ac:dyDescent="0.35">
      <c r="A116" s="12" t="s">
        <v>725</v>
      </c>
      <c r="B116" s="12" t="s">
        <v>726</v>
      </c>
      <c r="C116" s="12" t="s">
        <v>122</v>
      </c>
      <c r="D116" s="12" t="s">
        <v>33</v>
      </c>
      <c r="E116" s="12"/>
      <c r="F116" s="28" t="s">
        <v>202</v>
      </c>
      <c r="G116" s="28" t="s">
        <v>229</v>
      </c>
      <c r="H116" s="12" t="s">
        <v>204</v>
      </c>
      <c r="I116" s="12" t="s">
        <v>53</v>
      </c>
      <c r="J116" s="12" t="s">
        <v>54</v>
      </c>
      <c r="K116" s="12" t="s">
        <v>308</v>
      </c>
      <c r="L116" s="12" t="s">
        <v>259</v>
      </c>
      <c r="M116" s="12" t="s">
        <v>727</v>
      </c>
      <c r="N116" s="12" t="s">
        <v>728</v>
      </c>
      <c r="O116" s="12" t="s">
        <v>724</v>
      </c>
      <c r="P116" s="12"/>
      <c r="Q116" s="12"/>
      <c r="R116" s="12" t="s">
        <v>3250</v>
      </c>
      <c r="S116" s="12"/>
      <c r="T116" s="12" t="s">
        <v>3444</v>
      </c>
    </row>
    <row r="117" spans="1:20" ht="112" x14ac:dyDescent="0.35">
      <c r="A117" s="12" t="s">
        <v>729</v>
      </c>
      <c r="B117" s="12" t="s">
        <v>730</v>
      </c>
      <c r="C117" s="12" t="s">
        <v>122</v>
      </c>
      <c r="D117" s="12" t="s">
        <v>33</v>
      </c>
      <c r="E117" s="12"/>
      <c r="F117" s="28" t="s">
        <v>694</v>
      </c>
      <c r="G117" s="28" t="s">
        <v>731</v>
      </c>
      <c r="H117" s="12" t="s">
        <v>732</v>
      </c>
      <c r="I117" s="12" t="s">
        <v>55</v>
      </c>
      <c r="J117" s="12" t="s">
        <v>56</v>
      </c>
      <c r="K117" s="12" t="s">
        <v>228</v>
      </c>
      <c r="L117" s="12" t="s">
        <v>198</v>
      </c>
      <c r="M117" s="12" t="s">
        <v>722</v>
      </c>
      <c r="N117" s="12" t="s">
        <v>723</v>
      </c>
      <c r="O117" s="12" t="s">
        <v>724</v>
      </c>
      <c r="P117" s="12"/>
      <c r="Q117" s="12"/>
      <c r="R117" s="12"/>
      <c r="S117" s="12" t="s">
        <v>3445</v>
      </c>
      <c r="T117" s="12" t="s">
        <v>3446</v>
      </c>
    </row>
    <row r="118" spans="1:20" ht="84" x14ac:dyDescent="0.35">
      <c r="A118" s="12" t="s">
        <v>733</v>
      </c>
      <c r="B118" s="12" t="s">
        <v>734</v>
      </c>
      <c r="C118" s="12" t="s">
        <v>122</v>
      </c>
      <c r="D118" s="12" t="s">
        <v>34</v>
      </c>
      <c r="E118" s="12"/>
      <c r="F118" s="28" t="s">
        <v>216</v>
      </c>
      <c r="G118" s="28" t="s">
        <v>737</v>
      </c>
      <c r="H118" s="12" t="s">
        <v>738</v>
      </c>
      <c r="I118" s="12" t="s">
        <v>63</v>
      </c>
      <c r="J118" s="12" t="s">
        <v>64</v>
      </c>
      <c r="K118" s="12" t="s">
        <v>308</v>
      </c>
      <c r="L118" s="12" t="s">
        <v>259</v>
      </c>
      <c r="M118" s="12" t="s">
        <v>735</v>
      </c>
      <c r="N118" s="12" t="s">
        <v>736</v>
      </c>
      <c r="O118" s="12" t="s">
        <v>724</v>
      </c>
      <c r="P118" s="12"/>
      <c r="Q118" s="12"/>
      <c r="R118" s="12"/>
      <c r="S118" s="12" t="s">
        <v>3447</v>
      </c>
      <c r="T118" s="12" t="s">
        <v>3448</v>
      </c>
    </row>
    <row r="119" spans="1:20" ht="28" x14ac:dyDescent="0.35">
      <c r="A119" s="12" t="s">
        <v>739</v>
      </c>
      <c r="B119" s="12" t="s">
        <v>740</v>
      </c>
      <c r="C119" s="12" t="s">
        <v>122</v>
      </c>
      <c r="D119" s="12" t="s">
        <v>33</v>
      </c>
      <c r="E119" s="12"/>
      <c r="F119" s="28" t="s">
        <v>202</v>
      </c>
      <c r="G119" s="28" t="s">
        <v>318</v>
      </c>
      <c r="H119" s="12" t="s">
        <v>204</v>
      </c>
      <c r="I119" s="12" t="s">
        <v>61</v>
      </c>
      <c r="J119" s="12" t="s">
        <v>62</v>
      </c>
      <c r="K119" s="12" t="s">
        <v>228</v>
      </c>
      <c r="L119" s="12" t="s">
        <v>198</v>
      </c>
      <c r="M119" s="12" t="s">
        <v>741</v>
      </c>
      <c r="N119" s="12" t="s">
        <v>742</v>
      </c>
      <c r="O119" s="12" t="s">
        <v>724</v>
      </c>
      <c r="P119" s="12"/>
      <c r="Q119" s="12"/>
      <c r="R119" s="12" t="s">
        <v>3250</v>
      </c>
      <c r="S119" s="12"/>
      <c r="T119" s="12" t="s">
        <v>3449</v>
      </c>
    </row>
    <row r="120" spans="1:20" x14ac:dyDescent="0.35">
      <c r="A120" s="12" t="s">
        <v>743</v>
      </c>
      <c r="B120" s="12" t="s">
        <v>744</v>
      </c>
      <c r="C120" s="12" t="s">
        <v>122</v>
      </c>
      <c r="D120" s="12" t="s">
        <v>33</v>
      </c>
      <c r="E120" s="12"/>
      <c r="F120" s="28" t="s">
        <v>209</v>
      </c>
      <c r="G120" s="28" t="s">
        <v>747</v>
      </c>
      <c r="H120" s="12" t="s">
        <v>748</v>
      </c>
      <c r="I120" s="12" t="s">
        <v>53</v>
      </c>
      <c r="J120" s="12" t="s">
        <v>54</v>
      </c>
      <c r="K120" s="12" t="s">
        <v>228</v>
      </c>
      <c r="L120" s="12" t="s">
        <v>198</v>
      </c>
      <c r="M120" s="12" t="s">
        <v>745</v>
      </c>
      <c r="N120" s="12" t="s">
        <v>746</v>
      </c>
      <c r="O120" s="12" t="s">
        <v>724</v>
      </c>
      <c r="P120" s="12" t="s">
        <v>3330</v>
      </c>
      <c r="Q120" s="12" t="s">
        <v>3450</v>
      </c>
      <c r="R120" s="12"/>
      <c r="S120" s="12"/>
      <c r="T120" s="12" t="s">
        <v>3451</v>
      </c>
    </row>
    <row r="121" spans="1:20" ht="28" x14ac:dyDescent="0.35">
      <c r="A121" s="12" t="s">
        <v>749</v>
      </c>
      <c r="B121" s="12" t="s">
        <v>750</v>
      </c>
      <c r="C121" s="12" t="s">
        <v>122</v>
      </c>
      <c r="D121" s="12" t="s">
        <v>33</v>
      </c>
      <c r="E121" s="12"/>
      <c r="F121" s="28" t="s">
        <v>202</v>
      </c>
      <c r="G121" s="28" t="s">
        <v>371</v>
      </c>
      <c r="H121" s="12" t="s">
        <v>204</v>
      </c>
      <c r="I121" s="12" t="s">
        <v>55</v>
      </c>
      <c r="J121" s="12" t="s">
        <v>56</v>
      </c>
      <c r="K121" s="12" t="s">
        <v>228</v>
      </c>
      <c r="L121" s="12" t="s">
        <v>198</v>
      </c>
      <c r="M121" s="12" t="s">
        <v>751</v>
      </c>
      <c r="N121" s="12" t="s">
        <v>736</v>
      </c>
      <c r="O121" s="12" t="s">
        <v>724</v>
      </c>
      <c r="P121" s="12"/>
      <c r="Q121" s="12"/>
      <c r="R121" s="12" t="s">
        <v>3250</v>
      </c>
      <c r="S121" s="12"/>
      <c r="T121" s="12" t="s">
        <v>3452</v>
      </c>
    </row>
    <row r="122" spans="1:20" ht="28" x14ac:dyDescent="0.35">
      <c r="A122" s="12" t="s">
        <v>752</v>
      </c>
      <c r="B122" s="12" t="s">
        <v>753</v>
      </c>
      <c r="C122" s="12" t="s">
        <v>122</v>
      </c>
      <c r="D122" s="12" t="s">
        <v>33</v>
      </c>
      <c r="E122" s="12"/>
      <c r="F122" s="28" t="s">
        <v>209</v>
      </c>
      <c r="G122" s="28" t="s">
        <v>754</v>
      </c>
      <c r="H122" s="12" t="s">
        <v>755</v>
      </c>
      <c r="I122" s="12" t="s">
        <v>59</v>
      </c>
      <c r="J122" s="12" t="s">
        <v>60</v>
      </c>
      <c r="K122" s="12" t="s">
        <v>308</v>
      </c>
      <c r="L122" s="12" t="s">
        <v>259</v>
      </c>
      <c r="M122" s="12" t="s">
        <v>735</v>
      </c>
      <c r="N122" s="12" t="s">
        <v>736</v>
      </c>
      <c r="O122" s="12" t="s">
        <v>724</v>
      </c>
      <c r="P122" s="12"/>
      <c r="Q122" s="12"/>
      <c r="R122" s="12"/>
      <c r="S122" s="12"/>
      <c r="T122" s="12" t="s">
        <v>3453</v>
      </c>
    </row>
    <row r="123" spans="1:20" ht="42" x14ac:dyDescent="0.35">
      <c r="A123" s="12" t="s">
        <v>756</v>
      </c>
      <c r="B123" s="12" t="s">
        <v>757</v>
      </c>
      <c r="C123" s="12" t="s">
        <v>122</v>
      </c>
      <c r="D123" s="12" t="s">
        <v>33</v>
      </c>
      <c r="E123" s="12"/>
      <c r="F123" s="28" t="s">
        <v>202</v>
      </c>
      <c r="G123" s="28" t="s">
        <v>760</v>
      </c>
      <c r="H123" s="12" t="s">
        <v>204</v>
      </c>
      <c r="I123" s="12" t="s">
        <v>55</v>
      </c>
      <c r="J123" s="12" t="s">
        <v>56</v>
      </c>
      <c r="K123" s="12" t="s">
        <v>228</v>
      </c>
      <c r="L123" s="12" t="s">
        <v>198</v>
      </c>
      <c r="M123" s="12" t="s">
        <v>758</v>
      </c>
      <c r="N123" s="12" t="s">
        <v>759</v>
      </c>
      <c r="O123" s="12" t="s">
        <v>724</v>
      </c>
      <c r="P123" s="12"/>
      <c r="Q123" s="12"/>
      <c r="R123" s="12" t="s">
        <v>3250</v>
      </c>
      <c r="S123" s="12" t="s">
        <v>3454</v>
      </c>
      <c r="T123" s="12" t="s">
        <v>3449</v>
      </c>
    </row>
    <row r="124" spans="1:20" ht="28" x14ac:dyDescent="0.35">
      <c r="A124" s="12" t="s">
        <v>761</v>
      </c>
      <c r="B124" s="12" t="s">
        <v>762</v>
      </c>
      <c r="C124" s="12" t="s">
        <v>122</v>
      </c>
      <c r="D124" s="12" t="s">
        <v>33</v>
      </c>
      <c r="E124" s="12"/>
      <c r="F124" s="28" t="s">
        <v>202</v>
      </c>
      <c r="G124" s="28" t="s">
        <v>318</v>
      </c>
      <c r="H124" s="12" t="s">
        <v>204</v>
      </c>
      <c r="I124" s="12" t="s">
        <v>61</v>
      </c>
      <c r="J124" s="12" t="s">
        <v>62</v>
      </c>
      <c r="K124" s="12" t="s">
        <v>308</v>
      </c>
      <c r="L124" s="12" t="s">
        <v>259</v>
      </c>
      <c r="M124" s="12" t="s">
        <v>763</v>
      </c>
      <c r="N124" s="12" t="s">
        <v>764</v>
      </c>
      <c r="O124" s="12" t="s">
        <v>724</v>
      </c>
      <c r="P124" s="12"/>
      <c r="Q124" s="12"/>
      <c r="R124" s="12" t="s">
        <v>3250</v>
      </c>
      <c r="S124" s="12"/>
      <c r="T124" s="12" t="s">
        <v>3455</v>
      </c>
    </row>
    <row r="125" spans="1:20" x14ac:dyDescent="0.35">
      <c r="A125" s="12" t="s">
        <v>2464</v>
      </c>
      <c r="B125" s="12" t="s">
        <v>2465</v>
      </c>
      <c r="C125" s="12" t="s">
        <v>122</v>
      </c>
      <c r="D125" s="12" t="s">
        <v>33</v>
      </c>
      <c r="E125" s="12" t="s">
        <v>2414</v>
      </c>
      <c r="F125" s="28" t="s">
        <v>209</v>
      </c>
      <c r="G125" s="28" t="s">
        <v>2466</v>
      </c>
      <c r="H125" s="12" t="s">
        <v>2467</v>
      </c>
      <c r="I125" s="12" t="s">
        <v>53</v>
      </c>
      <c r="J125" s="12" t="s">
        <v>54</v>
      </c>
      <c r="K125" s="12" t="s">
        <v>228</v>
      </c>
      <c r="L125" s="12" t="s">
        <v>198</v>
      </c>
      <c r="M125" s="12" t="s">
        <v>791</v>
      </c>
      <c r="N125" s="12" t="s">
        <v>792</v>
      </c>
      <c r="O125" s="12" t="s">
        <v>724</v>
      </c>
      <c r="P125" s="12" t="s">
        <v>3325</v>
      </c>
      <c r="Q125" s="12" t="s">
        <v>3456</v>
      </c>
      <c r="R125" s="12"/>
      <c r="S125" s="12"/>
      <c r="T125" s="12" t="s">
        <v>3457</v>
      </c>
    </row>
    <row r="126" spans="1:20" ht="42" x14ac:dyDescent="0.35">
      <c r="A126" s="12" t="s">
        <v>765</v>
      </c>
      <c r="B126" s="12" t="s">
        <v>766</v>
      </c>
      <c r="C126" s="12" t="s">
        <v>122</v>
      </c>
      <c r="D126" s="12" t="s">
        <v>33</v>
      </c>
      <c r="E126" s="12"/>
      <c r="F126" s="28" t="s">
        <v>202</v>
      </c>
      <c r="G126" s="28" t="s">
        <v>769</v>
      </c>
      <c r="H126" s="12" t="s">
        <v>204</v>
      </c>
      <c r="I126" s="12" t="s">
        <v>63</v>
      </c>
      <c r="J126" s="12" t="s">
        <v>64</v>
      </c>
      <c r="K126" s="12" t="s">
        <v>308</v>
      </c>
      <c r="L126" s="12" t="s">
        <v>259</v>
      </c>
      <c r="M126" s="12" t="s">
        <v>767</v>
      </c>
      <c r="N126" s="12" t="s">
        <v>768</v>
      </c>
      <c r="O126" s="12" t="s">
        <v>724</v>
      </c>
      <c r="P126" s="12"/>
      <c r="Q126" s="12"/>
      <c r="R126" s="12" t="s">
        <v>3273</v>
      </c>
      <c r="S126" s="12" t="s">
        <v>3458</v>
      </c>
      <c r="T126" s="12" t="s">
        <v>3459</v>
      </c>
    </row>
    <row r="127" spans="1:20" ht="28" x14ac:dyDescent="0.35">
      <c r="A127" s="12" t="s">
        <v>770</v>
      </c>
      <c r="B127" s="12" t="s">
        <v>771</v>
      </c>
      <c r="C127" s="12" t="s">
        <v>122</v>
      </c>
      <c r="D127" s="12" t="s">
        <v>33</v>
      </c>
      <c r="E127" s="12"/>
      <c r="F127" s="28" t="s">
        <v>202</v>
      </c>
      <c r="G127" s="28" t="s">
        <v>371</v>
      </c>
      <c r="H127" s="12" t="s">
        <v>204</v>
      </c>
      <c r="I127" s="12" t="s">
        <v>55</v>
      </c>
      <c r="J127" s="12" t="s">
        <v>56</v>
      </c>
      <c r="K127" s="12" t="s">
        <v>308</v>
      </c>
      <c r="L127" s="12" t="s">
        <v>259</v>
      </c>
      <c r="M127" s="12" t="s">
        <v>763</v>
      </c>
      <c r="N127" s="12" t="s">
        <v>772</v>
      </c>
      <c r="O127" s="12" t="s">
        <v>724</v>
      </c>
      <c r="P127" s="12"/>
      <c r="Q127" s="12"/>
      <c r="R127" s="12" t="s">
        <v>3266</v>
      </c>
      <c r="S127" s="12"/>
      <c r="T127" s="12" t="s">
        <v>3460</v>
      </c>
    </row>
    <row r="128" spans="1:20" x14ac:dyDescent="0.35">
      <c r="A128" s="12" t="s">
        <v>773</v>
      </c>
      <c r="B128" s="12" t="s">
        <v>774</v>
      </c>
      <c r="C128" s="12" t="s">
        <v>122</v>
      </c>
      <c r="D128" s="12" t="s">
        <v>33</v>
      </c>
      <c r="E128" s="12"/>
      <c r="F128" s="28" t="s">
        <v>209</v>
      </c>
      <c r="G128" s="28" t="s">
        <v>777</v>
      </c>
      <c r="H128" s="12" t="s">
        <v>778</v>
      </c>
      <c r="I128" s="12" t="s">
        <v>53</v>
      </c>
      <c r="J128" s="12" t="s">
        <v>54</v>
      </c>
      <c r="K128" s="12" t="s">
        <v>228</v>
      </c>
      <c r="L128" s="12" t="s">
        <v>198</v>
      </c>
      <c r="M128" s="12" t="s">
        <v>775</v>
      </c>
      <c r="N128" s="12" t="s">
        <v>776</v>
      </c>
      <c r="O128" s="12" t="s">
        <v>724</v>
      </c>
      <c r="P128" s="12"/>
      <c r="Q128" s="12"/>
      <c r="R128" s="12"/>
      <c r="S128" s="12"/>
      <c r="T128" s="12" t="s">
        <v>3461</v>
      </c>
    </row>
    <row r="129" spans="1:20" ht="28" x14ac:dyDescent="0.35">
      <c r="A129" s="12" t="s">
        <v>779</v>
      </c>
      <c r="B129" s="12" t="s">
        <v>780</v>
      </c>
      <c r="C129" s="12" t="s">
        <v>122</v>
      </c>
      <c r="D129" s="12" t="s">
        <v>33</v>
      </c>
      <c r="E129" s="12"/>
      <c r="F129" s="28" t="s">
        <v>202</v>
      </c>
      <c r="G129" s="28" t="s">
        <v>229</v>
      </c>
      <c r="H129" s="12" t="s">
        <v>204</v>
      </c>
      <c r="I129" s="12" t="s">
        <v>53</v>
      </c>
      <c r="J129" s="12" t="s">
        <v>54</v>
      </c>
      <c r="K129" s="12" t="s">
        <v>331</v>
      </c>
      <c r="L129" s="12" t="s">
        <v>239</v>
      </c>
      <c r="M129" s="12" t="s">
        <v>781</v>
      </c>
      <c r="N129" s="12" t="s">
        <v>782</v>
      </c>
      <c r="O129" s="12" t="s">
        <v>724</v>
      </c>
      <c r="P129" s="12"/>
      <c r="Q129" s="12"/>
      <c r="R129" s="12" t="s">
        <v>3250</v>
      </c>
      <c r="S129" s="12"/>
      <c r="T129" s="12" t="s">
        <v>3462</v>
      </c>
    </row>
    <row r="130" spans="1:20" x14ac:dyDescent="0.35">
      <c r="A130" s="12" t="s">
        <v>783</v>
      </c>
      <c r="B130" s="12" t="s">
        <v>784</v>
      </c>
      <c r="C130" s="12" t="s">
        <v>122</v>
      </c>
      <c r="D130" s="12" t="s">
        <v>33</v>
      </c>
      <c r="E130" s="12"/>
      <c r="F130" s="28" t="s">
        <v>209</v>
      </c>
      <c r="G130" s="28" t="s">
        <v>787</v>
      </c>
      <c r="H130" s="12" t="s">
        <v>788</v>
      </c>
      <c r="I130" s="12" t="s">
        <v>53</v>
      </c>
      <c r="J130" s="12" t="s">
        <v>54</v>
      </c>
      <c r="K130" s="12" t="s">
        <v>331</v>
      </c>
      <c r="L130" s="12" t="s">
        <v>239</v>
      </c>
      <c r="M130" s="12" t="s">
        <v>785</v>
      </c>
      <c r="N130" s="12" t="s">
        <v>786</v>
      </c>
      <c r="O130" s="12" t="s">
        <v>724</v>
      </c>
      <c r="P130" s="12" t="s">
        <v>3330</v>
      </c>
      <c r="Q130" s="12" t="s">
        <v>3463</v>
      </c>
      <c r="R130" s="12"/>
      <c r="S130" s="12"/>
      <c r="T130" s="12" t="s">
        <v>3464</v>
      </c>
    </row>
    <row r="131" spans="1:20" ht="28" x14ac:dyDescent="0.35">
      <c r="A131" s="12" t="s">
        <v>789</v>
      </c>
      <c r="B131" s="12" t="s">
        <v>790</v>
      </c>
      <c r="C131" s="12" t="s">
        <v>122</v>
      </c>
      <c r="D131" s="12" t="s">
        <v>33</v>
      </c>
      <c r="E131" s="12"/>
      <c r="F131" s="28" t="s">
        <v>209</v>
      </c>
      <c r="G131" s="28" t="s">
        <v>793</v>
      </c>
      <c r="H131" s="12" t="s">
        <v>794</v>
      </c>
      <c r="I131" s="12" t="s">
        <v>53</v>
      </c>
      <c r="J131" s="12" t="s">
        <v>54</v>
      </c>
      <c r="K131" s="12" t="s">
        <v>308</v>
      </c>
      <c r="L131" s="12" t="s">
        <v>259</v>
      </c>
      <c r="M131" s="12" t="s">
        <v>791</v>
      </c>
      <c r="N131" s="12" t="s">
        <v>792</v>
      </c>
      <c r="O131" s="12" t="s">
        <v>724</v>
      </c>
      <c r="P131" s="12"/>
      <c r="Q131" s="12"/>
      <c r="R131" s="12"/>
      <c r="S131" s="12" t="s">
        <v>3465</v>
      </c>
      <c r="T131" s="12" t="s">
        <v>3466</v>
      </c>
    </row>
    <row r="132" spans="1:20" ht="28" x14ac:dyDescent="0.35">
      <c r="A132" s="12" t="s">
        <v>795</v>
      </c>
      <c r="B132" s="12" t="s">
        <v>796</v>
      </c>
      <c r="C132" s="12" t="s">
        <v>122</v>
      </c>
      <c r="D132" s="12" t="s">
        <v>33</v>
      </c>
      <c r="E132" s="12"/>
      <c r="F132" s="28" t="s">
        <v>202</v>
      </c>
      <c r="G132" s="28" t="s">
        <v>318</v>
      </c>
      <c r="H132" s="12" t="s">
        <v>204</v>
      </c>
      <c r="I132" s="12" t="s">
        <v>61</v>
      </c>
      <c r="J132" s="12" t="s">
        <v>62</v>
      </c>
      <c r="K132" s="12" t="s">
        <v>308</v>
      </c>
      <c r="L132" s="12" t="s">
        <v>259</v>
      </c>
      <c r="M132" s="12" t="s">
        <v>797</v>
      </c>
      <c r="N132" s="12" t="s">
        <v>798</v>
      </c>
      <c r="O132" s="12" t="s">
        <v>724</v>
      </c>
      <c r="P132" s="12"/>
      <c r="Q132" s="12"/>
      <c r="R132" s="12" t="s">
        <v>3250</v>
      </c>
      <c r="S132" s="12"/>
      <c r="T132" s="12" t="s">
        <v>3467</v>
      </c>
    </row>
    <row r="133" spans="1:20" ht="28" x14ac:dyDescent="0.35">
      <c r="A133" s="12" t="s">
        <v>799</v>
      </c>
      <c r="B133" s="12" t="s">
        <v>800</v>
      </c>
      <c r="C133" s="12" t="s">
        <v>122</v>
      </c>
      <c r="D133" s="12" t="s">
        <v>33</v>
      </c>
      <c r="E133" s="12"/>
      <c r="F133" s="28" t="s">
        <v>202</v>
      </c>
      <c r="G133" s="28" t="s">
        <v>229</v>
      </c>
      <c r="H133" s="12" t="s">
        <v>204</v>
      </c>
      <c r="I133" s="12" t="s">
        <v>53</v>
      </c>
      <c r="J133" s="12" t="s">
        <v>54</v>
      </c>
      <c r="K133" s="12" t="s">
        <v>228</v>
      </c>
      <c r="L133" s="12" t="s">
        <v>198</v>
      </c>
      <c r="M133" s="12" t="s">
        <v>763</v>
      </c>
      <c r="N133" s="12" t="s">
        <v>801</v>
      </c>
      <c r="O133" s="12" t="s">
        <v>724</v>
      </c>
      <c r="P133" s="12"/>
      <c r="Q133" s="12"/>
      <c r="R133" s="12" t="s">
        <v>3250</v>
      </c>
      <c r="S133" s="12"/>
      <c r="T133" s="12" t="s">
        <v>3468</v>
      </c>
    </row>
    <row r="134" spans="1:20" ht="56" x14ac:dyDescent="0.35">
      <c r="A134" s="12" t="s">
        <v>802</v>
      </c>
      <c r="B134" s="12" t="s">
        <v>803</v>
      </c>
      <c r="C134" s="12" t="s">
        <v>122</v>
      </c>
      <c r="D134" s="12" t="s">
        <v>33</v>
      </c>
      <c r="E134" s="12"/>
      <c r="F134" s="28" t="s">
        <v>202</v>
      </c>
      <c r="G134" s="28" t="s">
        <v>807</v>
      </c>
      <c r="H134" s="12" t="s">
        <v>204</v>
      </c>
      <c r="I134" s="12" t="s">
        <v>55</v>
      </c>
      <c r="J134" s="12" t="s">
        <v>56</v>
      </c>
      <c r="K134" s="12" t="s">
        <v>331</v>
      </c>
      <c r="L134" s="12" t="s">
        <v>239</v>
      </c>
      <c r="M134" s="12" t="s">
        <v>804</v>
      </c>
      <c r="N134" s="12" t="s">
        <v>805</v>
      </c>
      <c r="O134" s="12" t="s">
        <v>806</v>
      </c>
      <c r="P134" s="12" t="s">
        <v>3330</v>
      </c>
      <c r="Q134" s="21" t="s">
        <v>3371</v>
      </c>
      <c r="R134" s="18" t="s">
        <v>3250</v>
      </c>
      <c r="S134" s="12"/>
      <c r="T134" s="12" t="s">
        <v>3469</v>
      </c>
    </row>
    <row r="135" spans="1:20" ht="28" x14ac:dyDescent="0.35">
      <c r="A135" s="12" t="s">
        <v>808</v>
      </c>
      <c r="B135" s="12" t="s">
        <v>809</v>
      </c>
      <c r="C135" s="12" t="s">
        <v>122</v>
      </c>
      <c r="D135" s="12" t="s">
        <v>33</v>
      </c>
      <c r="E135" s="12"/>
      <c r="F135" s="28" t="s">
        <v>202</v>
      </c>
      <c r="G135" s="28" t="s">
        <v>229</v>
      </c>
      <c r="H135" s="12" t="s">
        <v>204</v>
      </c>
      <c r="I135" s="12" t="s">
        <v>53</v>
      </c>
      <c r="J135" s="12" t="s">
        <v>54</v>
      </c>
      <c r="K135" s="12" t="s">
        <v>228</v>
      </c>
      <c r="L135" s="12" t="s">
        <v>198</v>
      </c>
      <c r="M135" s="12" t="s">
        <v>810</v>
      </c>
      <c r="N135" s="12" t="s">
        <v>811</v>
      </c>
      <c r="O135" s="12" t="s">
        <v>806</v>
      </c>
      <c r="P135" s="12"/>
      <c r="Q135" s="12"/>
      <c r="R135" s="12" t="s">
        <v>3250</v>
      </c>
      <c r="S135" s="12"/>
      <c r="T135" s="12" t="s">
        <v>3470</v>
      </c>
    </row>
    <row r="136" spans="1:20" x14ac:dyDescent="0.35">
      <c r="A136" s="12" t="s">
        <v>812</v>
      </c>
      <c r="B136" s="12" t="s">
        <v>813</v>
      </c>
      <c r="C136" s="12" t="s">
        <v>122</v>
      </c>
      <c r="D136" s="12" t="s">
        <v>33</v>
      </c>
      <c r="E136" s="12"/>
      <c r="F136" s="28" t="s">
        <v>209</v>
      </c>
      <c r="G136" s="28" t="s">
        <v>816</v>
      </c>
      <c r="H136" s="12" t="s">
        <v>817</v>
      </c>
      <c r="I136" s="12" t="s">
        <v>53</v>
      </c>
      <c r="J136" s="12" t="s">
        <v>54</v>
      </c>
      <c r="K136" s="12" t="s">
        <v>308</v>
      </c>
      <c r="L136" s="12" t="s">
        <v>259</v>
      </c>
      <c r="M136" s="12" t="s">
        <v>814</v>
      </c>
      <c r="N136" s="12" t="s">
        <v>815</v>
      </c>
      <c r="O136" s="12" t="s">
        <v>806</v>
      </c>
      <c r="P136" s="12"/>
      <c r="Q136" s="12"/>
      <c r="R136" s="12"/>
      <c r="S136" s="12" t="s">
        <v>3471</v>
      </c>
      <c r="T136" s="12" t="s">
        <v>3472</v>
      </c>
    </row>
    <row r="137" spans="1:20" ht="28" x14ac:dyDescent="0.35">
      <c r="A137" s="12" t="s">
        <v>818</v>
      </c>
      <c r="B137" s="12" t="s">
        <v>819</v>
      </c>
      <c r="C137" s="12" t="s">
        <v>122</v>
      </c>
      <c r="D137" s="12" t="s">
        <v>33</v>
      </c>
      <c r="E137" s="12"/>
      <c r="F137" s="28" t="s">
        <v>202</v>
      </c>
      <c r="G137" s="28" t="s">
        <v>313</v>
      </c>
      <c r="H137" s="12" t="s">
        <v>204</v>
      </c>
      <c r="I137" s="12" t="s">
        <v>59</v>
      </c>
      <c r="J137" s="12" t="s">
        <v>60</v>
      </c>
      <c r="K137" s="12" t="s">
        <v>308</v>
      </c>
      <c r="L137" s="12" t="s">
        <v>259</v>
      </c>
      <c r="M137" s="12" t="s">
        <v>820</v>
      </c>
      <c r="N137" s="12" t="s">
        <v>821</v>
      </c>
      <c r="O137" s="12" t="s">
        <v>806</v>
      </c>
      <c r="P137" s="12"/>
      <c r="Q137" s="12"/>
      <c r="R137" s="12" t="s">
        <v>3473</v>
      </c>
      <c r="S137" s="12"/>
      <c r="T137" s="12" t="s">
        <v>3474</v>
      </c>
    </row>
    <row r="138" spans="1:20" ht="28" x14ac:dyDescent="0.35">
      <c r="A138" s="12" t="s">
        <v>822</v>
      </c>
      <c r="B138" s="12" t="s">
        <v>823</v>
      </c>
      <c r="C138" s="12" t="s">
        <v>122</v>
      </c>
      <c r="D138" s="12" t="s">
        <v>33</v>
      </c>
      <c r="E138" s="12"/>
      <c r="F138" s="28" t="s">
        <v>216</v>
      </c>
      <c r="G138" s="28" t="s">
        <v>826</v>
      </c>
      <c r="H138" s="12" t="s">
        <v>827</v>
      </c>
      <c r="I138" s="12" t="s">
        <v>53</v>
      </c>
      <c r="J138" s="12" t="s">
        <v>54</v>
      </c>
      <c r="K138" s="12" t="s">
        <v>308</v>
      </c>
      <c r="L138" s="12" t="s">
        <v>259</v>
      </c>
      <c r="M138" s="12" t="s">
        <v>824</v>
      </c>
      <c r="N138" s="12" t="s">
        <v>825</v>
      </c>
      <c r="O138" s="12" t="s">
        <v>806</v>
      </c>
      <c r="P138" s="12"/>
      <c r="Q138" s="12"/>
      <c r="R138" s="12"/>
      <c r="S138" s="12" t="s">
        <v>3475</v>
      </c>
      <c r="T138" s="12" t="s">
        <v>3476</v>
      </c>
    </row>
    <row r="139" spans="1:20" ht="28" x14ac:dyDescent="0.35">
      <c r="A139" s="12" t="s">
        <v>828</v>
      </c>
      <c r="B139" s="12" t="s">
        <v>829</v>
      </c>
      <c r="C139" s="12" t="s">
        <v>122</v>
      </c>
      <c r="D139" s="12" t="s">
        <v>33</v>
      </c>
      <c r="E139" s="12"/>
      <c r="F139" s="28" t="s">
        <v>209</v>
      </c>
      <c r="G139" s="28" t="s">
        <v>832</v>
      </c>
      <c r="H139" s="12" t="s">
        <v>833</v>
      </c>
      <c r="I139" s="12" t="s">
        <v>57</v>
      </c>
      <c r="J139" s="12" t="s">
        <v>58</v>
      </c>
      <c r="K139" s="12" t="s">
        <v>228</v>
      </c>
      <c r="L139" s="12" t="s">
        <v>198</v>
      </c>
      <c r="M139" s="12" t="s">
        <v>830</v>
      </c>
      <c r="N139" s="12" t="s">
        <v>831</v>
      </c>
      <c r="O139" s="12" t="s">
        <v>806</v>
      </c>
      <c r="P139" s="12"/>
      <c r="Q139" s="12"/>
      <c r="R139" s="12"/>
      <c r="S139" s="12"/>
      <c r="T139" s="12" t="s">
        <v>3477</v>
      </c>
    </row>
    <row r="140" spans="1:20" x14ac:dyDescent="0.35">
      <c r="A140" s="12" t="s">
        <v>834</v>
      </c>
      <c r="B140" s="12" t="s">
        <v>835</v>
      </c>
      <c r="C140" s="12" t="s">
        <v>122</v>
      </c>
      <c r="D140" s="12" t="s">
        <v>33</v>
      </c>
      <c r="E140" s="12"/>
      <c r="F140" s="28" t="s">
        <v>209</v>
      </c>
      <c r="G140" s="28" t="s">
        <v>838</v>
      </c>
      <c r="H140" s="12" t="s">
        <v>839</v>
      </c>
      <c r="I140" s="12" t="s">
        <v>59</v>
      </c>
      <c r="J140" s="12" t="s">
        <v>60</v>
      </c>
      <c r="K140" s="12" t="s">
        <v>228</v>
      </c>
      <c r="L140" s="12" t="s">
        <v>198</v>
      </c>
      <c r="M140" s="12" t="s">
        <v>836</v>
      </c>
      <c r="N140" s="12" t="s">
        <v>837</v>
      </c>
      <c r="O140" s="12" t="s">
        <v>806</v>
      </c>
      <c r="P140" s="12"/>
      <c r="Q140" s="12"/>
      <c r="R140" s="12"/>
      <c r="S140" s="12"/>
      <c r="T140" s="12" t="s">
        <v>3365</v>
      </c>
    </row>
    <row r="141" spans="1:20" ht="28" x14ac:dyDescent="0.35">
      <c r="A141" s="12" t="s">
        <v>840</v>
      </c>
      <c r="B141" s="12" t="s">
        <v>841</v>
      </c>
      <c r="C141" s="12" t="s">
        <v>122</v>
      </c>
      <c r="D141" s="12" t="s">
        <v>33</v>
      </c>
      <c r="E141" s="12"/>
      <c r="F141" s="28" t="s">
        <v>209</v>
      </c>
      <c r="G141" s="28" t="s">
        <v>844</v>
      </c>
      <c r="H141" s="12" t="s">
        <v>845</v>
      </c>
      <c r="I141" s="12" t="s">
        <v>53</v>
      </c>
      <c r="J141" s="12" t="s">
        <v>54</v>
      </c>
      <c r="K141" s="12" t="s">
        <v>308</v>
      </c>
      <c r="L141" s="12" t="s">
        <v>259</v>
      </c>
      <c r="M141" s="12" t="s">
        <v>842</v>
      </c>
      <c r="N141" s="12" t="s">
        <v>843</v>
      </c>
      <c r="O141" s="12" t="s">
        <v>806</v>
      </c>
      <c r="P141" s="12"/>
      <c r="Q141" s="12"/>
      <c r="R141" s="12"/>
      <c r="S141" s="12" t="s">
        <v>3478</v>
      </c>
      <c r="T141" s="12" t="s">
        <v>3479</v>
      </c>
    </row>
    <row r="142" spans="1:20" x14ac:dyDescent="0.35">
      <c r="A142" s="12" t="s">
        <v>846</v>
      </c>
      <c r="B142" s="12" t="s">
        <v>847</v>
      </c>
      <c r="C142" s="12" t="s">
        <v>122</v>
      </c>
      <c r="D142" s="12" t="s">
        <v>33</v>
      </c>
      <c r="E142" s="12"/>
      <c r="F142" s="28" t="s">
        <v>209</v>
      </c>
      <c r="G142" s="28" t="s">
        <v>851</v>
      </c>
      <c r="H142" s="12" t="s">
        <v>852</v>
      </c>
      <c r="I142" s="12" t="s">
        <v>53</v>
      </c>
      <c r="J142" s="12" t="s">
        <v>54</v>
      </c>
      <c r="K142" s="12" t="s">
        <v>228</v>
      </c>
      <c r="L142" s="12" t="s">
        <v>198</v>
      </c>
      <c r="M142" s="12" t="s">
        <v>848</v>
      </c>
      <c r="N142" s="12" t="s">
        <v>849</v>
      </c>
      <c r="O142" s="12" t="s">
        <v>850</v>
      </c>
      <c r="P142" s="12"/>
      <c r="Q142" s="12"/>
      <c r="R142" s="12"/>
      <c r="S142" s="12" t="s">
        <v>3480</v>
      </c>
      <c r="T142" s="12" t="s">
        <v>3481</v>
      </c>
    </row>
    <row r="143" spans="1:20" x14ac:dyDescent="0.35">
      <c r="A143" s="12" t="s">
        <v>853</v>
      </c>
      <c r="B143" s="12" t="s">
        <v>854</v>
      </c>
      <c r="C143" s="12" t="s">
        <v>122</v>
      </c>
      <c r="D143" s="12" t="s">
        <v>33</v>
      </c>
      <c r="E143" s="12"/>
      <c r="F143" s="28" t="s">
        <v>209</v>
      </c>
      <c r="G143" s="28" t="s">
        <v>857</v>
      </c>
      <c r="H143" s="12" t="s">
        <v>858</v>
      </c>
      <c r="I143" s="12" t="s">
        <v>53</v>
      </c>
      <c r="J143" s="12" t="s">
        <v>54</v>
      </c>
      <c r="K143" s="12" t="s">
        <v>228</v>
      </c>
      <c r="L143" s="12" t="s">
        <v>198</v>
      </c>
      <c r="M143" s="12" t="s">
        <v>855</v>
      </c>
      <c r="N143" s="12" t="s">
        <v>856</v>
      </c>
      <c r="O143" s="12" t="s">
        <v>850</v>
      </c>
      <c r="P143" s="12"/>
      <c r="Q143" s="12"/>
      <c r="R143" s="12"/>
      <c r="S143" s="12" t="s">
        <v>3482</v>
      </c>
      <c r="T143" s="12" t="s">
        <v>3483</v>
      </c>
    </row>
    <row r="144" spans="1:20" ht="28" x14ac:dyDescent="0.35">
      <c r="A144" s="12" t="s">
        <v>859</v>
      </c>
      <c r="B144" s="12" t="s">
        <v>860</v>
      </c>
      <c r="C144" s="12" t="s">
        <v>122</v>
      </c>
      <c r="D144" s="12" t="s">
        <v>34</v>
      </c>
      <c r="E144" s="12"/>
      <c r="F144" s="28" t="s">
        <v>216</v>
      </c>
      <c r="G144" s="28" t="s">
        <v>863</v>
      </c>
      <c r="H144" s="12" t="s">
        <v>864</v>
      </c>
      <c r="I144" s="12" t="s">
        <v>85</v>
      </c>
      <c r="J144" s="12" t="s">
        <v>86</v>
      </c>
      <c r="K144" s="12" t="s">
        <v>228</v>
      </c>
      <c r="L144" s="12" t="s">
        <v>198</v>
      </c>
      <c r="M144" s="12" t="s">
        <v>861</v>
      </c>
      <c r="N144" s="12" t="s">
        <v>862</v>
      </c>
      <c r="O144" s="12" t="s">
        <v>850</v>
      </c>
      <c r="P144" s="12"/>
      <c r="Q144" s="12"/>
      <c r="R144" s="12"/>
      <c r="S144" s="12" t="s">
        <v>3484</v>
      </c>
      <c r="T144" s="12" t="s">
        <v>3485</v>
      </c>
    </row>
    <row r="145" spans="1:20" ht="28" x14ac:dyDescent="0.35">
      <c r="A145" s="12" t="s">
        <v>865</v>
      </c>
      <c r="B145" s="12" t="s">
        <v>866</v>
      </c>
      <c r="C145" s="12" t="s">
        <v>122</v>
      </c>
      <c r="D145" s="12" t="s">
        <v>33</v>
      </c>
      <c r="E145" s="12"/>
      <c r="F145" s="28" t="s">
        <v>202</v>
      </c>
      <c r="G145" s="28" t="s">
        <v>313</v>
      </c>
      <c r="H145" s="12" t="s">
        <v>204</v>
      </c>
      <c r="I145" s="12" t="s">
        <v>59</v>
      </c>
      <c r="J145" s="12" t="s">
        <v>60</v>
      </c>
      <c r="K145" s="12" t="s">
        <v>331</v>
      </c>
      <c r="L145" s="12" t="s">
        <v>239</v>
      </c>
      <c r="M145" s="12" t="s">
        <v>867</v>
      </c>
      <c r="N145" s="12" t="s">
        <v>868</v>
      </c>
      <c r="O145" s="12" t="s">
        <v>850</v>
      </c>
      <c r="P145" s="12"/>
      <c r="Q145" s="12"/>
      <c r="R145" s="12" t="s">
        <v>3250</v>
      </c>
      <c r="S145" s="12" t="s">
        <v>3486</v>
      </c>
      <c r="T145" s="12" t="s">
        <v>3487</v>
      </c>
    </row>
    <row r="146" spans="1:20" x14ac:dyDescent="0.35">
      <c r="A146" s="12" t="s">
        <v>869</v>
      </c>
      <c r="B146" s="12" t="s">
        <v>870</v>
      </c>
      <c r="C146" s="12" t="s">
        <v>122</v>
      </c>
      <c r="D146" s="12" t="s">
        <v>33</v>
      </c>
      <c r="E146" s="12"/>
      <c r="F146" s="28" t="s">
        <v>209</v>
      </c>
      <c r="G146" s="28" t="s">
        <v>874</v>
      </c>
      <c r="H146" s="12" t="s">
        <v>875</v>
      </c>
      <c r="I146" s="12" t="s">
        <v>53</v>
      </c>
      <c r="J146" s="12" t="s">
        <v>54</v>
      </c>
      <c r="K146" s="12" t="s">
        <v>228</v>
      </c>
      <c r="L146" s="12" t="s">
        <v>198</v>
      </c>
      <c r="M146" s="12" t="s">
        <v>871</v>
      </c>
      <c r="N146" s="12" t="s">
        <v>872</v>
      </c>
      <c r="O146" s="12" t="s">
        <v>873</v>
      </c>
      <c r="P146" s="12"/>
      <c r="Q146" s="12"/>
      <c r="R146" s="12"/>
      <c r="S146" s="12" t="s">
        <v>3488</v>
      </c>
      <c r="T146" s="12" t="s">
        <v>3489</v>
      </c>
    </row>
    <row r="147" spans="1:20" ht="42" x14ac:dyDescent="0.35">
      <c r="A147" s="12" t="s">
        <v>876</v>
      </c>
      <c r="B147" s="12" t="s">
        <v>877</v>
      </c>
      <c r="C147" s="12" t="s">
        <v>122</v>
      </c>
      <c r="D147" s="12" t="s">
        <v>33</v>
      </c>
      <c r="E147" s="12"/>
      <c r="F147" s="28" t="s">
        <v>202</v>
      </c>
      <c r="G147" s="28" t="s">
        <v>203</v>
      </c>
      <c r="H147" s="12" t="s">
        <v>204</v>
      </c>
      <c r="I147" s="12" t="s">
        <v>53</v>
      </c>
      <c r="J147" s="12" t="s">
        <v>54</v>
      </c>
      <c r="K147" s="12" t="s">
        <v>308</v>
      </c>
      <c r="L147" s="12" t="s">
        <v>259</v>
      </c>
      <c r="M147" s="12" t="s">
        <v>878</v>
      </c>
      <c r="N147" s="12" t="s">
        <v>879</v>
      </c>
      <c r="O147" s="12" t="s">
        <v>873</v>
      </c>
      <c r="P147" s="12"/>
      <c r="Q147" s="12"/>
      <c r="R147" s="12" t="s">
        <v>3266</v>
      </c>
      <c r="S147" s="12"/>
      <c r="T147" s="12" t="s">
        <v>3490</v>
      </c>
    </row>
    <row r="148" spans="1:20" ht="56" x14ac:dyDescent="0.35">
      <c r="A148" s="12" t="s">
        <v>880</v>
      </c>
      <c r="B148" s="12" t="s">
        <v>881</v>
      </c>
      <c r="C148" s="12" t="s">
        <v>122</v>
      </c>
      <c r="D148" s="12" t="s">
        <v>33</v>
      </c>
      <c r="E148" s="12"/>
      <c r="F148" s="28" t="s">
        <v>202</v>
      </c>
      <c r="G148" s="28" t="s">
        <v>882</v>
      </c>
      <c r="H148" s="12" t="s">
        <v>204</v>
      </c>
      <c r="I148" s="12" t="s">
        <v>53</v>
      </c>
      <c r="J148" s="12" t="s">
        <v>54</v>
      </c>
      <c r="K148" s="12" t="s">
        <v>228</v>
      </c>
      <c r="L148" s="12" t="s">
        <v>198</v>
      </c>
      <c r="M148" s="12" t="s">
        <v>871</v>
      </c>
      <c r="N148" s="12" t="s">
        <v>872</v>
      </c>
      <c r="O148" s="12" t="s">
        <v>873</v>
      </c>
      <c r="P148" s="12"/>
      <c r="Q148" s="12"/>
      <c r="R148" s="12" t="s">
        <v>3308</v>
      </c>
      <c r="S148" s="12"/>
      <c r="T148" s="12" t="s">
        <v>3491</v>
      </c>
    </row>
    <row r="149" spans="1:20" ht="28" x14ac:dyDescent="0.35">
      <c r="A149" s="12" t="s">
        <v>883</v>
      </c>
      <c r="B149" s="12" t="s">
        <v>884</v>
      </c>
      <c r="C149" s="12" t="s">
        <v>122</v>
      </c>
      <c r="D149" s="12" t="s">
        <v>33</v>
      </c>
      <c r="E149" s="12"/>
      <c r="F149" s="28" t="s">
        <v>202</v>
      </c>
      <c r="G149" s="28" t="s">
        <v>371</v>
      </c>
      <c r="H149" s="12" t="s">
        <v>204</v>
      </c>
      <c r="I149" s="12" t="s">
        <v>55</v>
      </c>
      <c r="J149" s="12" t="s">
        <v>56</v>
      </c>
      <c r="K149" s="12" t="s">
        <v>331</v>
      </c>
      <c r="L149" s="12" t="s">
        <v>239</v>
      </c>
      <c r="M149" s="12" t="s">
        <v>885</v>
      </c>
      <c r="N149" s="12" t="s">
        <v>886</v>
      </c>
      <c r="O149" s="12" t="s">
        <v>873</v>
      </c>
      <c r="P149" s="12"/>
      <c r="Q149" s="12"/>
      <c r="R149" s="12" t="s">
        <v>3492</v>
      </c>
      <c r="S149" s="12" t="s">
        <v>3493</v>
      </c>
      <c r="T149" s="12" t="s">
        <v>3494</v>
      </c>
    </row>
    <row r="150" spans="1:20" ht="28" x14ac:dyDescent="0.35">
      <c r="A150" s="12" t="s">
        <v>887</v>
      </c>
      <c r="B150" s="12" t="s">
        <v>888</v>
      </c>
      <c r="C150" s="12" t="s">
        <v>122</v>
      </c>
      <c r="D150" s="12" t="s">
        <v>33</v>
      </c>
      <c r="E150" s="12"/>
      <c r="F150" s="28" t="s">
        <v>202</v>
      </c>
      <c r="G150" s="28" t="s">
        <v>318</v>
      </c>
      <c r="H150" s="12" t="s">
        <v>204</v>
      </c>
      <c r="I150" s="12" t="s">
        <v>61</v>
      </c>
      <c r="J150" s="12" t="s">
        <v>62</v>
      </c>
      <c r="K150" s="12" t="s">
        <v>228</v>
      </c>
      <c r="L150" s="12" t="s">
        <v>198</v>
      </c>
      <c r="M150" s="12" t="s">
        <v>889</v>
      </c>
      <c r="N150" s="12" t="s">
        <v>890</v>
      </c>
      <c r="O150" s="12" t="s">
        <v>873</v>
      </c>
      <c r="P150" s="12"/>
      <c r="Q150" s="12"/>
      <c r="R150" s="12" t="s">
        <v>3250</v>
      </c>
      <c r="S150" s="12"/>
      <c r="T150" s="12" t="s">
        <v>3495</v>
      </c>
    </row>
    <row r="151" spans="1:20" ht="84" x14ac:dyDescent="0.35">
      <c r="A151" s="12" t="s">
        <v>891</v>
      </c>
      <c r="B151" s="12" t="s">
        <v>892</v>
      </c>
      <c r="C151" s="12" t="s">
        <v>122</v>
      </c>
      <c r="D151" s="12" t="s">
        <v>34</v>
      </c>
      <c r="E151" s="12"/>
      <c r="F151" s="28" t="s">
        <v>216</v>
      </c>
      <c r="G151" s="28" t="s">
        <v>895</v>
      </c>
      <c r="H151" s="12" t="s">
        <v>896</v>
      </c>
      <c r="I151" s="12" t="s">
        <v>63</v>
      </c>
      <c r="J151" s="12" t="s">
        <v>64</v>
      </c>
      <c r="K151" s="12" t="s">
        <v>228</v>
      </c>
      <c r="L151" s="12" t="s">
        <v>198</v>
      </c>
      <c r="M151" s="12" t="s">
        <v>893</v>
      </c>
      <c r="N151" s="12" t="s">
        <v>894</v>
      </c>
      <c r="O151" s="12" t="s">
        <v>873</v>
      </c>
      <c r="P151" s="12"/>
      <c r="Q151" s="12"/>
      <c r="R151" s="12"/>
      <c r="S151" s="12" t="s">
        <v>3496</v>
      </c>
      <c r="T151" s="12" t="s">
        <v>3497</v>
      </c>
    </row>
    <row r="152" spans="1:20" ht="56" x14ac:dyDescent="0.35">
      <c r="A152" s="12" t="s">
        <v>897</v>
      </c>
      <c r="B152" s="12" t="s">
        <v>898</v>
      </c>
      <c r="C152" s="12" t="s">
        <v>122</v>
      </c>
      <c r="D152" s="12" t="s">
        <v>33</v>
      </c>
      <c r="E152" s="12"/>
      <c r="F152" s="28" t="s">
        <v>202</v>
      </c>
      <c r="G152" s="28" t="s">
        <v>654</v>
      </c>
      <c r="H152" s="12" t="s">
        <v>204</v>
      </c>
      <c r="I152" s="12" t="s">
        <v>53</v>
      </c>
      <c r="J152" s="12" t="s">
        <v>54</v>
      </c>
      <c r="K152" s="12" t="s">
        <v>308</v>
      </c>
      <c r="L152" s="12" t="s">
        <v>259</v>
      </c>
      <c r="M152" s="12" t="s">
        <v>878</v>
      </c>
      <c r="N152" s="12" t="s">
        <v>879</v>
      </c>
      <c r="O152" s="12" t="s">
        <v>873</v>
      </c>
      <c r="P152" s="12"/>
      <c r="Q152" s="12"/>
      <c r="R152" s="12" t="s">
        <v>3250</v>
      </c>
      <c r="S152" s="12" t="s">
        <v>3498</v>
      </c>
      <c r="T152" s="12" t="s">
        <v>3499</v>
      </c>
    </row>
    <row r="153" spans="1:20" ht="56" x14ac:dyDescent="0.35">
      <c r="A153" s="12" t="s">
        <v>899</v>
      </c>
      <c r="B153" s="12" t="s">
        <v>900</v>
      </c>
      <c r="C153" s="12" t="s">
        <v>122</v>
      </c>
      <c r="D153" s="12" t="s">
        <v>33</v>
      </c>
      <c r="E153" s="12"/>
      <c r="F153" s="28" t="s">
        <v>202</v>
      </c>
      <c r="G153" s="28" t="s">
        <v>903</v>
      </c>
      <c r="H153" s="12" t="s">
        <v>204</v>
      </c>
      <c r="I153" s="12" t="s">
        <v>55</v>
      </c>
      <c r="J153" s="12" t="s">
        <v>56</v>
      </c>
      <c r="K153" s="12" t="s">
        <v>331</v>
      </c>
      <c r="L153" s="12" t="s">
        <v>239</v>
      </c>
      <c r="M153" s="12" t="s">
        <v>901</v>
      </c>
      <c r="N153" s="12" t="s">
        <v>902</v>
      </c>
      <c r="O153" s="12" t="s">
        <v>873</v>
      </c>
      <c r="P153" s="12"/>
      <c r="Q153" s="12"/>
      <c r="R153" s="12" t="s">
        <v>3250</v>
      </c>
      <c r="S153" s="12"/>
      <c r="T153" s="12" t="s">
        <v>3500</v>
      </c>
    </row>
    <row r="154" spans="1:20" x14ac:dyDescent="0.35">
      <c r="A154" s="12" t="s">
        <v>904</v>
      </c>
      <c r="B154" s="12" t="s">
        <v>905</v>
      </c>
      <c r="C154" s="12" t="s">
        <v>122</v>
      </c>
      <c r="D154" s="12" t="s">
        <v>33</v>
      </c>
      <c r="E154" s="12"/>
      <c r="F154" s="28" t="s">
        <v>209</v>
      </c>
      <c r="G154" s="28" t="s">
        <v>908</v>
      </c>
      <c r="H154" s="12" t="s">
        <v>909</v>
      </c>
      <c r="I154" s="12" t="s">
        <v>55</v>
      </c>
      <c r="J154" s="12" t="s">
        <v>56</v>
      </c>
      <c r="K154" s="12" t="s">
        <v>228</v>
      </c>
      <c r="L154" s="12" t="s">
        <v>198</v>
      </c>
      <c r="M154" s="12" t="s">
        <v>906</v>
      </c>
      <c r="N154" s="12" t="s">
        <v>907</v>
      </c>
      <c r="O154" s="12" t="s">
        <v>873</v>
      </c>
      <c r="P154" s="12"/>
      <c r="Q154" s="12"/>
      <c r="R154" s="12"/>
      <c r="S154" s="12"/>
      <c r="T154" s="12" t="s">
        <v>3501</v>
      </c>
    </row>
    <row r="155" spans="1:20" ht="56" x14ac:dyDescent="0.35">
      <c r="A155" s="12" t="s">
        <v>910</v>
      </c>
      <c r="B155" s="12" t="s">
        <v>911</v>
      </c>
      <c r="C155" s="12" t="s">
        <v>122</v>
      </c>
      <c r="D155" s="12" t="s">
        <v>33</v>
      </c>
      <c r="E155" s="12"/>
      <c r="F155" s="28" t="s">
        <v>202</v>
      </c>
      <c r="G155" s="28" t="s">
        <v>913</v>
      </c>
      <c r="H155" s="12" t="s">
        <v>204</v>
      </c>
      <c r="I155" s="12" t="s">
        <v>61</v>
      </c>
      <c r="J155" s="12" t="s">
        <v>62</v>
      </c>
      <c r="K155" s="12" t="s">
        <v>308</v>
      </c>
      <c r="L155" s="12" t="s">
        <v>259</v>
      </c>
      <c r="M155" s="12" t="s">
        <v>912</v>
      </c>
      <c r="N155" s="12" t="s">
        <v>879</v>
      </c>
      <c r="O155" s="12" t="s">
        <v>873</v>
      </c>
      <c r="P155" s="12"/>
      <c r="Q155" s="12"/>
      <c r="R155" s="12" t="s">
        <v>3266</v>
      </c>
      <c r="S155" s="12" t="s">
        <v>3502</v>
      </c>
      <c r="T155" s="12" t="s">
        <v>3503</v>
      </c>
    </row>
    <row r="156" spans="1:20" ht="28" x14ac:dyDescent="0.35">
      <c r="A156" s="12" t="s">
        <v>914</v>
      </c>
      <c r="B156" s="12" t="s">
        <v>915</v>
      </c>
      <c r="C156" s="12" t="s">
        <v>122</v>
      </c>
      <c r="D156" s="12" t="s">
        <v>33</v>
      </c>
      <c r="E156" s="12"/>
      <c r="F156" s="28" t="s">
        <v>202</v>
      </c>
      <c r="G156" s="28" t="s">
        <v>313</v>
      </c>
      <c r="H156" s="12" t="s">
        <v>204</v>
      </c>
      <c r="I156" s="12" t="s">
        <v>59</v>
      </c>
      <c r="J156" s="12" t="s">
        <v>60</v>
      </c>
      <c r="K156" s="12" t="s">
        <v>228</v>
      </c>
      <c r="L156" s="12" t="s">
        <v>198</v>
      </c>
      <c r="M156" s="12" t="s">
        <v>885</v>
      </c>
      <c r="N156" s="12" t="s">
        <v>886</v>
      </c>
      <c r="O156" s="12" t="s">
        <v>873</v>
      </c>
      <c r="P156" s="12"/>
      <c r="Q156" s="12"/>
      <c r="R156" s="12" t="s">
        <v>3266</v>
      </c>
      <c r="S156" s="12"/>
      <c r="T156" s="12" t="s">
        <v>3504</v>
      </c>
    </row>
    <row r="157" spans="1:20" ht="56" x14ac:dyDescent="0.35">
      <c r="A157" s="12" t="s">
        <v>916</v>
      </c>
      <c r="B157" s="12" t="s">
        <v>917</v>
      </c>
      <c r="C157" s="12" t="s">
        <v>122</v>
      </c>
      <c r="D157" s="12" t="s">
        <v>33</v>
      </c>
      <c r="E157" s="12"/>
      <c r="F157" s="28" t="s">
        <v>202</v>
      </c>
      <c r="G157" s="28" t="s">
        <v>920</v>
      </c>
      <c r="H157" s="12" t="s">
        <v>204</v>
      </c>
      <c r="I157" s="12" t="s">
        <v>55</v>
      </c>
      <c r="J157" s="12" t="s">
        <v>56</v>
      </c>
      <c r="K157" s="12" t="s">
        <v>228</v>
      </c>
      <c r="L157" s="12" t="s">
        <v>198</v>
      </c>
      <c r="M157" s="12" t="s">
        <v>918</v>
      </c>
      <c r="N157" s="12" t="s">
        <v>919</v>
      </c>
      <c r="O157" s="12" t="s">
        <v>873</v>
      </c>
      <c r="P157" s="12"/>
      <c r="Q157" s="12"/>
      <c r="R157" s="12" t="s">
        <v>3250</v>
      </c>
      <c r="S157" s="12"/>
      <c r="T157" s="12" t="s">
        <v>3505</v>
      </c>
    </row>
    <row r="158" spans="1:20" x14ac:dyDescent="0.35">
      <c r="A158" s="12" t="s">
        <v>921</v>
      </c>
      <c r="B158" s="12" t="s">
        <v>922</v>
      </c>
      <c r="C158" s="12" t="s">
        <v>122</v>
      </c>
      <c r="D158" s="12" t="s">
        <v>33</v>
      </c>
      <c r="E158" s="12"/>
      <c r="F158" s="28" t="s">
        <v>209</v>
      </c>
      <c r="G158" s="28" t="s">
        <v>925</v>
      </c>
      <c r="H158" s="12" t="s">
        <v>926</v>
      </c>
      <c r="I158" s="12" t="s">
        <v>53</v>
      </c>
      <c r="J158" s="12" t="s">
        <v>54</v>
      </c>
      <c r="K158" s="12" t="s">
        <v>308</v>
      </c>
      <c r="L158" s="12" t="s">
        <v>259</v>
      </c>
      <c r="M158" s="12" t="s">
        <v>923</v>
      </c>
      <c r="N158" s="12" t="s">
        <v>924</v>
      </c>
      <c r="O158" s="12" t="s">
        <v>873</v>
      </c>
      <c r="P158" s="12"/>
      <c r="Q158" s="12"/>
      <c r="R158" s="12"/>
      <c r="S158" s="12" t="s">
        <v>3506</v>
      </c>
      <c r="T158" s="12" t="s">
        <v>3507</v>
      </c>
    </row>
    <row r="159" spans="1:20" ht="28" x14ac:dyDescent="0.35">
      <c r="A159" s="12" t="s">
        <v>927</v>
      </c>
      <c r="B159" s="12" t="s">
        <v>928</v>
      </c>
      <c r="C159" s="12" t="s">
        <v>122</v>
      </c>
      <c r="D159" s="12" t="s">
        <v>33</v>
      </c>
      <c r="E159" s="12"/>
      <c r="F159" s="28" t="s">
        <v>202</v>
      </c>
      <c r="G159" s="28" t="s">
        <v>930</v>
      </c>
      <c r="H159" s="12" t="s">
        <v>204</v>
      </c>
      <c r="I159" s="12" t="s">
        <v>63</v>
      </c>
      <c r="J159" s="12" t="s">
        <v>64</v>
      </c>
      <c r="K159" s="12" t="s">
        <v>228</v>
      </c>
      <c r="L159" s="12" t="s">
        <v>198</v>
      </c>
      <c r="M159" s="12" t="s">
        <v>929</v>
      </c>
      <c r="N159" s="12" t="s">
        <v>886</v>
      </c>
      <c r="O159" s="12" t="s">
        <v>873</v>
      </c>
      <c r="P159" s="12"/>
      <c r="Q159" s="12"/>
      <c r="R159" s="12" t="s">
        <v>3250</v>
      </c>
      <c r="S159" s="12" t="s">
        <v>3508</v>
      </c>
      <c r="T159" s="12" t="s">
        <v>3509</v>
      </c>
    </row>
    <row r="160" spans="1:20" ht="56" x14ac:dyDescent="0.35">
      <c r="A160" s="12" t="s">
        <v>931</v>
      </c>
      <c r="B160" s="12" t="s">
        <v>932</v>
      </c>
      <c r="C160" s="12" t="s">
        <v>122</v>
      </c>
      <c r="D160" s="12" t="s">
        <v>33</v>
      </c>
      <c r="E160" s="12"/>
      <c r="F160" s="28" t="s">
        <v>202</v>
      </c>
      <c r="G160" s="28" t="s">
        <v>933</v>
      </c>
      <c r="H160" s="12" t="s">
        <v>204</v>
      </c>
      <c r="I160" s="12" t="s">
        <v>53</v>
      </c>
      <c r="J160" s="12" t="s">
        <v>54</v>
      </c>
      <c r="K160" s="12" t="s">
        <v>331</v>
      </c>
      <c r="L160" s="12" t="s">
        <v>239</v>
      </c>
      <c r="M160" s="12" t="s">
        <v>929</v>
      </c>
      <c r="N160" s="12" t="s">
        <v>886</v>
      </c>
      <c r="O160" s="12" t="s">
        <v>873</v>
      </c>
      <c r="P160" s="12"/>
      <c r="Q160" s="12"/>
      <c r="R160" s="12" t="s">
        <v>3250</v>
      </c>
      <c r="S160" s="12"/>
      <c r="T160" s="12" t="s">
        <v>3380</v>
      </c>
    </row>
    <row r="161" spans="1:20" ht="42" x14ac:dyDescent="0.35">
      <c r="A161" s="12" t="s">
        <v>934</v>
      </c>
      <c r="B161" s="12" t="s">
        <v>935</v>
      </c>
      <c r="C161" s="12" t="s">
        <v>122</v>
      </c>
      <c r="D161" s="12" t="s">
        <v>33</v>
      </c>
      <c r="E161" s="12"/>
      <c r="F161" s="28" t="s">
        <v>202</v>
      </c>
      <c r="G161" s="28" t="s">
        <v>937</v>
      </c>
      <c r="H161" s="12" t="s">
        <v>204</v>
      </c>
      <c r="I161" s="12" t="s">
        <v>55</v>
      </c>
      <c r="J161" s="12" t="s">
        <v>56</v>
      </c>
      <c r="K161" s="12" t="s">
        <v>331</v>
      </c>
      <c r="L161" s="12" t="s">
        <v>239</v>
      </c>
      <c r="M161" s="12" t="s">
        <v>936</v>
      </c>
      <c r="N161" s="12" t="s">
        <v>886</v>
      </c>
      <c r="O161" s="12" t="s">
        <v>873</v>
      </c>
      <c r="P161" s="12"/>
      <c r="Q161" s="12"/>
      <c r="R161" s="12" t="s">
        <v>3266</v>
      </c>
      <c r="S161" s="12"/>
      <c r="T161" s="12" t="s">
        <v>3510</v>
      </c>
    </row>
    <row r="162" spans="1:20" ht="28" x14ac:dyDescent="0.35">
      <c r="A162" s="12" t="s">
        <v>938</v>
      </c>
      <c r="B162" s="12" t="s">
        <v>939</v>
      </c>
      <c r="C162" s="12" t="s">
        <v>122</v>
      </c>
      <c r="D162" s="12" t="s">
        <v>33</v>
      </c>
      <c r="E162" s="12"/>
      <c r="F162" s="28" t="s">
        <v>216</v>
      </c>
      <c r="G162" s="28" t="s">
        <v>942</v>
      </c>
      <c r="H162" s="12" t="s">
        <v>943</v>
      </c>
      <c r="I162" s="12" t="s">
        <v>57</v>
      </c>
      <c r="J162" s="12" t="s">
        <v>58</v>
      </c>
      <c r="K162" s="12" t="s">
        <v>228</v>
      </c>
      <c r="L162" s="12" t="s">
        <v>198</v>
      </c>
      <c r="M162" s="12" t="s">
        <v>940</v>
      </c>
      <c r="N162" s="12" t="s">
        <v>941</v>
      </c>
      <c r="O162" s="12" t="s">
        <v>873</v>
      </c>
      <c r="P162" s="12"/>
      <c r="Q162" s="12"/>
      <c r="R162" s="12"/>
      <c r="S162" s="12" t="s">
        <v>3511</v>
      </c>
      <c r="T162" s="12" t="s">
        <v>3512</v>
      </c>
    </row>
    <row r="163" spans="1:20" ht="28" x14ac:dyDescent="0.35">
      <c r="A163" s="12" t="s">
        <v>944</v>
      </c>
      <c r="B163" s="12" t="s">
        <v>945</v>
      </c>
      <c r="C163" s="12" t="s">
        <v>122</v>
      </c>
      <c r="D163" s="12" t="s">
        <v>34</v>
      </c>
      <c r="E163" s="12"/>
      <c r="F163" s="28" t="s">
        <v>202</v>
      </c>
      <c r="G163" s="28" t="s">
        <v>946</v>
      </c>
      <c r="H163" s="12" t="s">
        <v>947</v>
      </c>
      <c r="I163" s="12" t="s">
        <v>65</v>
      </c>
      <c r="J163" s="12" t="s">
        <v>66</v>
      </c>
      <c r="K163" s="12" t="s">
        <v>228</v>
      </c>
      <c r="L163" s="12" t="s">
        <v>198</v>
      </c>
      <c r="M163" s="12" t="s">
        <v>906</v>
      </c>
      <c r="N163" s="12" t="s">
        <v>907</v>
      </c>
      <c r="O163" s="12" t="s">
        <v>873</v>
      </c>
      <c r="P163" s="12"/>
      <c r="Q163" s="12"/>
      <c r="R163" s="12" t="s">
        <v>3513</v>
      </c>
      <c r="S163" s="12"/>
      <c r="T163" s="12" t="s">
        <v>3514</v>
      </c>
    </row>
    <row r="164" spans="1:20" ht="56" x14ac:dyDescent="0.35">
      <c r="A164" s="12" t="s">
        <v>948</v>
      </c>
      <c r="B164" s="12" t="s">
        <v>949</v>
      </c>
      <c r="C164" s="12" t="s">
        <v>122</v>
      </c>
      <c r="D164" s="12" t="s">
        <v>33</v>
      </c>
      <c r="E164" s="12"/>
      <c r="F164" s="28" t="s">
        <v>202</v>
      </c>
      <c r="G164" s="28" t="s">
        <v>952</v>
      </c>
      <c r="H164" s="12" t="s">
        <v>204</v>
      </c>
      <c r="I164" s="12" t="s">
        <v>57</v>
      </c>
      <c r="J164" s="12" t="s">
        <v>58</v>
      </c>
      <c r="K164" s="12" t="s">
        <v>308</v>
      </c>
      <c r="L164" s="12" t="s">
        <v>259</v>
      </c>
      <c r="M164" s="12" t="s">
        <v>950</v>
      </c>
      <c r="N164" s="12" t="s">
        <v>951</v>
      </c>
      <c r="O164" s="12" t="s">
        <v>873</v>
      </c>
      <c r="P164" s="12"/>
      <c r="Q164" s="12"/>
      <c r="R164" s="12" t="s">
        <v>3266</v>
      </c>
      <c r="S164" s="12"/>
      <c r="T164" s="12" t="s">
        <v>3515</v>
      </c>
    </row>
    <row r="165" spans="1:20" ht="28" x14ac:dyDescent="0.35">
      <c r="A165" s="12" t="s">
        <v>953</v>
      </c>
      <c r="B165" s="12" t="s">
        <v>954</v>
      </c>
      <c r="C165" s="12" t="s">
        <v>122</v>
      </c>
      <c r="D165" s="12" t="s">
        <v>33</v>
      </c>
      <c r="E165" s="12"/>
      <c r="F165" s="28" t="s">
        <v>202</v>
      </c>
      <c r="G165" s="28" t="s">
        <v>229</v>
      </c>
      <c r="H165" s="12" t="s">
        <v>204</v>
      </c>
      <c r="I165" s="12" t="s">
        <v>53</v>
      </c>
      <c r="J165" s="12" t="s">
        <v>54</v>
      </c>
      <c r="K165" s="12" t="s">
        <v>228</v>
      </c>
      <c r="L165" s="12" t="s">
        <v>198</v>
      </c>
      <c r="M165" s="12" t="s">
        <v>955</v>
      </c>
      <c r="N165" s="12" t="s">
        <v>956</v>
      </c>
      <c r="O165" s="12" t="s">
        <v>957</v>
      </c>
      <c r="P165" s="12"/>
      <c r="Q165" s="12"/>
      <c r="R165" s="12" t="s">
        <v>3250</v>
      </c>
      <c r="S165" s="12"/>
      <c r="T165" s="12" t="s">
        <v>3265</v>
      </c>
    </row>
    <row r="166" spans="1:20" ht="28" x14ac:dyDescent="0.35">
      <c r="A166" s="12" t="s">
        <v>958</v>
      </c>
      <c r="B166" s="12" t="s">
        <v>959</v>
      </c>
      <c r="C166" s="12" t="s">
        <v>122</v>
      </c>
      <c r="D166" s="12" t="s">
        <v>33</v>
      </c>
      <c r="E166" s="12"/>
      <c r="F166" s="28" t="s">
        <v>202</v>
      </c>
      <c r="G166" s="28" t="s">
        <v>313</v>
      </c>
      <c r="H166" s="12" t="s">
        <v>204</v>
      </c>
      <c r="I166" s="12" t="s">
        <v>59</v>
      </c>
      <c r="J166" s="12" t="s">
        <v>60</v>
      </c>
      <c r="K166" s="12" t="s">
        <v>228</v>
      </c>
      <c r="L166" s="12" t="s">
        <v>198</v>
      </c>
      <c r="M166" s="12" t="s">
        <v>960</v>
      </c>
      <c r="N166" s="12" t="s">
        <v>961</v>
      </c>
      <c r="O166" s="12" t="s">
        <v>962</v>
      </c>
      <c r="P166" s="12"/>
      <c r="Q166" s="12"/>
      <c r="R166" s="12" t="s">
        <v>3250</v>
      </c>
      <c r="S166" s="12" t="s">
        <v>3516</v>
      </c>
      <c r="T166" s="12" t="s">
        <v>3517</v>
      </c>
    </row>
    <row r="167" spans="1:20" ht="28" x14ac:dyDescent="0.35">
      <c r="A167" s="12" t="s">
        <v>963</v>
      </c>
      <c r="B167" s="12" t="s">
        <v>964</v>
      </c>
      <c r="C167" s="12" t="s">
        <v>122</v>
      </c>
      <c r="D167" s="12" t="s">
        <v>33</v>
      </c>
      <c r="E167" s="12"/>
      <c r="F167" s="28" t="s">
        <v>202</v>
      </c>
      <c r="G167" s="28" t="s">
        <v>229</v>
      </c>
      <c r="H167" s="12" t="s">
        <v>204</v>
      </c>
      <c r="I167" s="12" t="s">
        <v>53</v>
      </c>
      <c r="J167" s="12" t="s">
        <v>54</v>
      </c>
      <c r="K167" s="12" t="s">
        <v>228</v>
      </c>
      <c r="L167" s="12" t="s">
        <v>198</v>
      </c>
      <c r="M167" s="12" t="s">
        <v>965</v>
      </c>
      <c r="N167" s="12" t="s">
        <v>966</v>
      </c>
      <c r="O167" s="12" t="s">
        <v>962</v>
      </c>
      <c r="P167" s="12"/>
      <c r="Q167" s="12"/>
      <c r="R167" s="12" t="s">
        <v>3250</v>
      </c>
      <c r="S167" s="12" t="s">
        <v>3518</v>
      </c>
      <c r="T167" s="12" t="s">
        <v>3519</v>
      </c>
    </row>
    <row r="168" spans="1:20" x14ac:dyDescent="0.35">
      <c r="A168" s="12" t="s">
        <v>2468</v>
      </c>
      <c r="B168" s="12" t="s">
        <v>2469</v>
      </c>
      <c r="C168" s="12" t="s">
        <v>122</v>
      </c>
      <c r="D168" s="12" t="s">
        <v>33</v>
      </c>
      <c r="E168" s="12" t="s">
        <v>2414</v>
      </c>
      <c r="F168" s="28" t="s">
        <v>209</v>
      </c>
      <c r="G168" s="28" t="s">
        <v>2471</v>
      </c>
      <c r="H168" s="12" t="s">
        <v>2472</v>
      </c>
      <c r="I168" s="12" t="s">
        <v>53</v>
      </c>
      <c r="J168" s="12" t="s">
        <v>54</v>
      </c>
      <c r="K168" s="12" t="s">
        <v>228</v>
      </c>
      <c r="L168" s="12" t="s">
        <v>198</v>
      </c>
      <c r="M168" s="12" t="s">
        <v>2470</v>
      </c>
      <c r="N168" s="12" t="s">
        <v>970</v>
      </c>
      <c r="O168" s="12" t="s">
        <v>971</v>
      </c>
      <c r="P168" s="12" t="s">
        <v>3325</v>
      </c>
      <c r="Q168" s="12" t="s">
        <v>3520</v>
      </c>
      <c r="R168" s="12"/>
      <c r="S168" s="12"/>
      <c r="T168" s="12" t="s">
        <v>3521</v>
      </c>
    </row>
    <row r="169" spans="1:20" ht="42" x14ac:dyDescent="0.35">
      <c r="A169" s="12" t="s">
        <v>967</v>
      </c>
      <c r="B169" s="12" t="s">
        <v>968</v>
      </c>
      <c r="C169" s="12" t="s">
        <v>122</v>
      </c>
      <c r="D169" s="12" t="s">
        <v>33</v>
      </c>
      <c r="E169" s="12"/>
      <c r="F169" s="28" t="s">
        <v>202</v>
      </c>
      <c r="G169" s="28" t="s">
        <v>972</v>
      </c>
      <c r="H169" s="12" t="s">
        <v>204</v>
      </c>
      <c r="I169" s="12" t="s">
        <v>55</v>
      </c>
      <c r="J169" s="12" t="s">
        <v>56</v>
      </c>
      <c r="K169" s="12" t="s">
        <v>308</v>
      </c>
      <c r="L169" s="12" t="s">
        <v>259</v>
      </c>
      <c r="M169" s="12" t="s">
        <v>969</v>
      </c>
      <c r="N169" s="12" t="s">
        <v>970</v>
      </c>
      <c r="O169" s="12" t="s">
        <v>971</v>
      </c>
      <c r="P169" s="12"/>
      <c r="Q169" s="12"/>
      <c r="R169" s="12" t="s">
        <v>3473</v>
      </c>
      <c r="S169" s="12"/>
      <c r="T169" s="12" t="s">
        <v>3522</v>
      </c>
    </row>
    <row r="170" spans="1:20" ht="28" x14ac:dyDescent="0.35">
      <c r="A170" s="12" t="s">
        <v>973</v>
      </c>
      <c r="B170" s="12" t="s">
        <v>974</v>
      </c>
      <c r="C170" s="12" t="s">
        <v>122</v>
      </c>
      <c r="D170" s="12" t="s">
        <v>33</v>
      </c>
      <c r="E170" s="12"/>
      <c r="F170" s="28" t="s">
        <v>202</v>
      </c>
      <c r="G170" s="28" t="s">
        <v>313</v>
      </c>
      <c r="H170" s="12" t="s">
        <v>204</v>
      </c>
      <c r="I170" s="12" t="s">
        <v>59</v>
      </c>
      <c r="J170" s="12" t="s">
        <v>60</v>
      </c>
      <c r="K170" s="12" t="s">
        <v>331</v>
      </c>
      <c r="L170" s="12" t="s">
        <v>239</v>
      </c>
      <c r="M170" s="12" t="s">
        <v>975</v>
      </c>
      <c r="N170" s="12" t="s">
        <v>976</v>
      </c>
      <c r="O170" s="12" t="s">
        <v>971</v>
      </c>
      <c r="P170" s="12"/>
      <c r="Q170" s="12"/>
      <c r="R170" s="12" t="s">
        <v>3473</v>
      </c>
      <c r="S170" s="12"/>
      <c r="T170" s="12" t="s">
        <v>3523</v>
      </c>
    </row>
    <row r="171" spans="1:20" ht="28" x14ac:dyDescent="0.35">
      <c r="A171" s="12" t="s">
        <v>977</v>
      </c>
      <c r="B171" s="12" t="s">
        <v>978</v>
      </c>
      <c r="C171" s="12" t="s">
        <v>122</v>
      </c>
      <c r="D171" s="12" t="s">
        <v>33</v>
      </c>
      <c r="E171" s="12"/>
      <c r="F171" s="28" t="s">
        <v>202</v>
      </c>
      <c r="G171" s="28" t="s">
        <v>229</v>
      </c>
      <c r="H171" s="12" t="s">
        <v>204</v>
      </c>
      <c r="I171" s="12" t="s">
        <v>53</v>
      </c>
      <c r="J171" s="12" t="s">
        <v>54</v>
      </c>
      <c r="K171" s="12" t="s">
        <v>308</v>
      </c>
      <c r="L171" s="12" t="s">
        <v>259</v>
      </c>
      <c r="M171" s="12" t="s">
        <v>979</v>
      </c>
      <c r="N171" s="12" t="s">
        <v>980</v>
      </c>
      <c r="O171" s="12" t="s">
        <v>971</v>
      </c>
      <c r="P171" s="12"/>
      <c r="Q171" s="12"/>
      <c r="R171" s="12" t="s">
        <v>3250</v>
      </c>
      <c r="S171" s="12"/>
      <c r="T171" s="12" t="s">
        <v>3524</v>
      </c>
    </row>
    <row r="172" spans="1:20" ht="28" x14ac:dyDescent="0.35">
      <c r="A172" s="12" t="s">
        <v>981</v>
      </c>
      <c r="B172" s="12" t="s">
        <v>982</v>
      </c>
      <c r="C172" s="12" t="s">
        <v>122</v>
      </c>
      <c r="D172" s="12" t="s">
        <v>33</v>
      </c>
      <c r="E172" s="12"/>
      <c r="F172" s="28" t="s">
        <v>202</v>
      </c>
      <c r="G172" s="28" t="s">
        <v>229</v>
      </c>
      <c r="H172" s="12" t="s">
        <v>204</v>
      </c>
      <c r="I172" s="12" t="s">
        <v>53</v>
      </c>
      <c r="J172" s="12" t="s">
        <v>54</v>
      </c>
      <c r="K172" s="12" t="s">
        <v>308</v>
      </c>
      <c r="L172" s="12" t="s">
        <v>259</v>
      </c>
      <c r="M172" s="12" t="s">
        <v>983</v>
      </c>
      <c r="N172" s="12" t="s">
        <v>984</v>
      </c>
      <c r="O172" s="12" t="s">
        <v>985</v>
      </c>
      <c r="P172" s="12"/>
      <c r="Q172" s="12"/>
      <c r="R172" s="12" t="s">
        <v>3266</v>
      </c>
      <c r="S172" s="12"/>
      <c r="T172" s="12" t="s">
        <v>3525</v>
      </c>
    </row>
    <row r="173" spans="1:20" x14ac:dyDescent="0.35">
      <c r="A173" s="12" t="s">
        <v>986</v>
      </c>
      <c r="B173" s="12" t="s">
        <v>987</v>
      </c>
      <c r="C173" s="12" t="s">
        <v>122</v>
      </c>
      <c r="D173" s="12" t="s">
        <v>33</v>
      </c>
      <c r="E173" s="12"/>
      <c r="F173" s="28" t="s">
        <v>209</v>
      </c>
      <c r="G173" s="28" t="s">
        <v>990</v>
      </c>
      <c r="H173" s="12" t="s">
        <v>991</v>
      </c>
      <c r="I173" s="12" t="s">
        <v>63</v>
      </c>
      <c r="J173" s="12" t="s">
        <v>64</v>
      </c>
      <c r="K173" s="12" t="s">
        <v>228</v>
      </c>
      <c r="L173" s="12" t="s">
        <v>198</v>
      </c>
      <c r="M173" s="12" t="s">
        <v>988</v>
      </c>
      <c r="N173" s="12" t="s">
        <v>989</v>
      </c>
      <c r="O173" s="12" t="s">
        <v>985</v>
      </c>
      <c r="P173" s="12"/>
      <c r="Q173" s="12"/>
      <c r="R173" s="12"/>
      <c r="S173" s="12" t="s">
        <v>3526</v>
      </c>
      <c r="T173" s="12" t="s">
        <v>3527</v>
      </c>
    </row>
    <row r="174" spans="1:20" ht="28" x14ac:dyDescent="0.35">
      <c r="A174" s="12" t="s">
        <v>992</v>
      </c>
      <c r="B174" s="12" t="s">
        <v>993</v>
      </c>
      <c r="C174" s="12" t="s">
        <v>122</v>
      </c>
      <c r="D174" s="12" t="s">
        <v>33</v>
      </c>
      <c r="E174" s="12"/>
      <c r="F174" s="28" t="s">
        <v>202</v>
      </c>
      <c r="G174" s="28" t="s">
        <v>371</v>
      </c>
      <c r="H174" s="12" t="s">
        <v>204</v>
      </c>
      <c r="I174" s="12" t="s">
        <v>55</v>
      </c>
      <c r="J174" s="12" t="s">
        <v>56</v>
      </c>
      <c r="K174" s="12" t="s">
        <v>228</v>
      </c>
      <c r="L174" s="12" t="s">
        <v>198</v>
      </c>
      <c r="M174" s="12" t="s">
        <v>994</v>
      </c>
      <c r="N174" s="12" t="s">
        <v>995</v>
      </c>
      <c r="O174" s="12" t="s">
        <v>985</v>
      </c>
      <c r="P174" s="12"/>
      <c r="Q174" s="12"/>
      <c r="R174" s="12" t="s">
        <v>3473</v>
      </c>
      <c r="S174" s="12" t="s">
        <v>3528</v>
      </c>
      <c r="T174" s="12" t="s">
        <v>3529</v>
      </c>
    </row>
    <row r="175" spans="1:20" ht="42" x14ac:dyDescent="0.35">
      <c r="A175" s="12" t="s">
        <v>996</v>
      </c>
      <c r="B175" s="12" t="s">
        <v>997</v>
      </c>
      <c r="C175" s="12" t="s">
        <v>122</v>
      </c>
      <c r="D175" s="12" t="s">
        <v>33</v>
      </c>
      <c r="E175" s="12"/>
      <c r="F175" s="28" t="s">
        <v>202</v>
      </c>
      <c r="G175" s="28" t="s">
        <v>1000</v>
      </c>
      <c r="H175" s="12" t="s">
        <v>204</v>
      </c>
      <c r="I175" s="12" t="s">
        <v>61</v>
      </c>
      <c r="J175" s="12" t="s">
        <v>62</v>
      </c>
      <c r="K175" s="12" t="s">
        <v>228</v>
      </c>
      <c r="L175" s="12" t="s">
        <v>198</v>
      </c>
      <c r="M175" s="12" t="s">
        <v>998</v>
      </c>
      <c r="N175" s="12" t="s">
        <v>999</v>
      </c>
      <c r="O175" s="12" t="s">
        <v>985</v>
      </c>
      <c r="P175" s="12"/>
      <c r="Q175" s="12"/>
      <c r="R175" s="12" t="s">
        <v>3250</v>
      </c>
      <c r="S175" s="12" t="s">
        <v>3530</v>
      </c>
      <c r="T175" s="12" t="s">
        <v>3531</v>
      </c>
    </row>
    <row r="176" spans="1:20" ht="28" x14ac:dyDescent="0.35">
      <c r="A176" s="12" t="s">
        <v>1001</v>
      </c>
      <c r="B176" s="12" t="s">
        <v>1002</v>
      </c>
      <c r="C176" s="12" t="s">
        <v>122</v>
      </c>
      <c r="D176" s="12" t="s">
        <v>33</v>
      </c>
      <c r="E176" s="12"/>
      <c r="F176" s="28" t="s">
        <v>202</v>
      </c>
      <c r="G176" s="28" t="s">
        <v>229</v>
      </c>
      <c r="H176" s="12" t="s">
        <v>204</v>
      </c>
      <c r="I176" s="12" t="s">
        <v>53</v>
      </c>
      <c r="J176" s="12" t="s">
        <v>54</v>
      </c>
      <c r="K176" s="12" t="s">
        <v>331</v>
      </c>
      <c r="L176" s="12" t="s">
        <v>239</v>
      </c>
      <c r="M176" s="12" t="s">
        <v>1003</v>
      </c>
      <c r="N176" s="12" t="s">
        <v>1004</v>
      </c>
      <c r="O176" s="12" t="s">
        <v>985</v>
      </c>
      <c r="P176" s="12"/>
      <c r="Q176" s="12"/>
      <c r="R176" s="12" t="s">
        <v>3250</v>
      </c>
      <c r="S176" s="12" t="s">
        <v>3532</v>
      </c>
      <c r="T176" s="12" t="s">
        <v>3533</v>
      </c>
    </row>
    <row r="177" spans="1:20" ht="28" x14ac:dyDescent="0.35">
      <c r="A177" s="12" t="s">
        <v>1005</v>
      </c>
      <c r="B177" s="12" t="s">
        <v>1006</v>
      </c>
      <c r="C177" s="12" t="s">
        <v>122</v>
      </c>
      <c r="D177" s="12" t="s">
        <v>33</v>
      </c>
      <c r="E177" s="12"/>
      <c r="F177" s="28" t="s">
        <v>202</v>
      </c>
      <c r="G177" s="28" t="s">
        <v>229</v>
      </c>
      <c r="H177" s="12" t="s">
        <v>204</v>
      </c>
      <c r="I177" s="12" t="s">
        <v>53</v>
      </c>
      <c r="J177" s="12" t="s">
        <v>54</v>
      </c>
      <c r="K177" s="12" t="s">
        <v>228</v>
      </c>
      <c r="L177" s="12" t="s">
        <v>198</v>
      </c>
      <c r="M177" s="12" t="s">
        <v>1007</v>
      </c>
      <c r="N177" s="12" t="s">
        <v>1008</v>
      </c>
      <c r="O177" s="12" t="s">
        <v>985</v>
      </c>
      <c r="P177" s="12"/>
      <c r="Q177" s="12"/>
      <c r="R177" s="12" t="s">
        <v>3250</v>
      </c>
      <c r="S177" s="12" t="s">
        <v>3534</v>
      </c>
      <c r="T177" s="12" t="s">
        <v>3535</v>
      </c>
    </row>
    <row r="178" spans="1:20" ht="70" x14ac:dyDescent="0.35">
      <c r="A178" s="12" t="s">
        <v>1009</v>
      </c>
      <c r="B178" s="12" t="s">
        <v>1010</v>
      </c>
      <c r="C178" s="12" t="s">
        <v>122</v>
      </c>
      <c r="D178" s="12" t="s">
        <v>33</v>
      </c>
      <c r="E178" s="12"/>
      <c r="F178" s="28" t="s">
        <v>202</v>
      </c>
      <c r="G178" s="28" t="s">
        <v>1011</v>
      </c>
      <c r="H178" s="12" t="s">
        <v>204</v>
      </c>
      <c r="I178" s="12" t="s">
        <v>55</v>
      </c>
      <c r="J178" s="12" t="s">
        <v>56</v>
      </c>
      <c r="K178" s="12" t="s">
        <v>308</v>
      </c>
      <c r="L178" s="12" t="s">
        <v>259</v>
      </c>
      <c r="M178" s="12" t="s">
        <v>994</v>
      </c>
      <c r="N178" s="12" t="s">
        <v>995</v>
      </c>
      <c r="O178" s="12" t="s">
        <v>985</v>
      </c>
      <c r="P178" s="12"/>
      <c r="Q178" s="12"/>
      <c r="R178" s="12" t="s">
        <v>3250</v>
      </c>
      <c r="S178" s="12"/>
      <c r="T178" s="12" t="s">
        <v>3536</v>
      </c>
    </row>
    <row r="179" spans="1:20" ht="28" x14ac:dyDescent="0.35">
      <c r="A179" s="12" t="s">
        <v>1012</v>
      </c>
      <c r="B179" s="12" t="s">
        <v>1013</v>
      </c>
      <c r="C179" s="12" t="s">
        <v>122</v>
      </c>
      <c r="D179" s="12" t="s">
        <v>33</v>
      </c>
      <c r="E179" s="12"/>
      <c r="F179" s="28" t="s">
        <v>202</v>
      </c>
      <c r="G179" s="28" t="s">
        <v>414</v>
      </c>
      <c r="H179" s="12" t="s">
        <v>204</v>
      </c>
      <c r="I179" s="12" t="s">
        <v>57</v>
      </c>
      <c r="J179" s="12" t="s">
        <v>58</v>
      </c>
      <c r="K179" s="12" t="s">
        <v>228</v>
      </c>
      <c r="L179" s="12" t="s">
        <v>198</v>
      </c>
      <c r="M179" s="12" t="s">
        <v>1014</v>
      </c>
      <c r="N179" s="12" t="s">
        <v>1015</v>
      </c>
      <c r="O179" s="12" t="s">
        <v>985</v>
      </c>
      <c r="P179" s="12"/>
      <c r="Q179" s="12"/>
      <c r="R179" s="12" t="s">
        <v>3250</v>
      </c>
      <c r="S179" s="12" t="s">
        <v>3537</v>
      </c>
      <c r="T179" s="12" t="s">
        <v>3538</v>
      </c>
    </row>
    <row r="180" spans="1:20" ht="42" x14ac:dyDescent="0.35">
      <c r="A180" s="12" t="s">
        <v>1016</v>
      </c>
      <c r="B180" s="12" t="s">
        <v>1017</v>
      </c>
      <c r="C180" s="12" t="s">
        <v>122</v>
      </c>
      <c r="D180" s="12" t="s">
        <v>33</v>
      </c>
      <c r="E180" s="12"/>
      <c r="F180" s="28" t="s">
        <v>202</v>
      </c>
      <c r="G180" s="28" t="s">
        <v>1020</v>
      </c>
      <c r="H180" s="12" t="s">
        <v>204</v>
      </c>
      <c r="I180" s="12" t="s">
        <v>75</v>
      </c>
      <c r="J180" s="12" t="s">
        <v>76</v>
      </c>
      <c r="K180" s="12" t="s">
        <v>228</v>
      </c>
      <c r="L180" s="12" t="s">
        <v>198</v>
      </c>
      <c r="M180" s="12" t="s">
        <v>1018</v>
      </c>
      <c r="N180" s="12" t="s">
        <v>1019</v>
      </c>
      <c r="O180" s="12" t="s">
        <v>985</v>
      </c>
      <c r="P180" s="12"/>
      <c r="Q180" s="12"/>
      <c r="R180" s="12" t="s">
        <v>3250</v>
      </c>
      <c r="S180" s="12" t="s">
        <v>3539</v>
      </c>
      <c r="T180" s="12" t="s">
        <v>3540</v>
      </c>
    </row>
    <row r="181" spans="1:20" ht="28" x14ac:dyDescent="0.35">
      <c r="A181" s="12" t="s">
        <v>1021</v>
      </c>
      <c r="B181" s="12" t="s">
        <v>1022</v>
      </c>
      <c r="C181" s="12" t="s">
        <v>122</v>
      </c>
      <c r="D181" s="12" t="s">
        <v>33</v>
      </c>
      <c r="E181" s="12"/>
      <c r="F181" s="28" t="s">
        <v>202</v>
      </c>
      <c r="G181" s="28" t="s">
        <v>375</v>
      </c>
      <c r="H181" s="12" t="s">
        <v>204</v>
      </c>
      <c r="I181" s="12" t="s">
        <v>69</v>
      </c>
      <c r="J181" s="12" t="s">
        <v>70</v>
      </c>
      <c r="K181" s="12" t="s">
        <v>308</v>
      </c>
      <c r="L181" s="12" t="s">
        <v>259</v>
      </c>
      <c r="M181" s="12" t="s">
        <v>1007</v>
      </c>
      <c r="N181" s="12" t="s">
        <v>1023</v>
      </c>
      <c r="O181" s="12" t="s">
        <v>985</v>
      </c>
      <c r="P181" s="12"/>
      <c r="Q181" s="12"/>
      <c r="R181" s="12" t="s">
        <v>3250</v>
      </c>
      <c r="S181" s="12" t="s">
        <v>3541</v>
      </c>
      <c r="T181" s="12" t="s">
        <v>3542</v>
      </c>
    </row>
    <row r="182" spans="1:20" ht="56" x14ac:dyDescent="0.35">
      <c r="A182" s="12" t="s">
        <v>1024</v>
      </c>
      <c r="B182" s="12" t="s">
        <v>1025</v>
      </c>
      <c r="C182" s="12" t="s">
        <v>122</v>
      </c>
      <c r="D182" s="12" t="s">
        <v>34</v>
      </c>
      <c r="E182" s="12"/>
      <c r="F182" s="28" t="s">
        <v>216</v>
      </c>
      <c r="G182" s="28" t="s">
        <v>1026</v>
      </c>
      <c r="H182" s="12" t="s">
        <v>1027</v>
      </c>
      <c r="I182" s="12" t="s">
        <v>63</v>
      </c>
      <c r="J182" s="12" t="s">
        <v>64</v>
      </c>
      <c r="K182" s="12" t="s">
        <v>331</v>
      </c>
      <c r="L182" s="12" t="s">
        <v>239</v>
      </c>
      <c r="M182" s="12" t="s">
        <v>1007</v>
      </c>
      <c r="N182" s="12" t="s">
        <v>1023</v>
      </c>
      <c r="O182" s="12" t="s">
        <v>985</v>
      </c>
      <c r="P182" s="12"/>
      <c r="Q182" s="12"/>
      <c r="R182" s="12"/>
      <c r="S182" s="12" t="s">
        <v>3543</v>
      </c>
      <c r="T182" s="12" t="s">
        <v>3544</v>
      </c>
    </row>
    <row r="183" spans="1:20" ht="56" x14ac:dyDescent="0.35">
      <c r="A183" s="12" t="s">
        <v>1028</v>
      </c>
      <c r="B183" s="12" t="s">
        <v>1029</v>
      </c>
      <c r="C183" s="12" t="s">
        <v>122</v>
      </c>
      <c r="D183" s="12" t="s">
        <v>33</v>
      </c>
      <c r="E183" s="12"/>
      <c r="F183" s="28" t="s">
        <v>202</v>
      </c>
      <c r="G183" s="28" t="s">
        <v>1032</v>
      </c>
      <c r="H183" s="12" t="s">
        <v>204</v>
      </c>
      <c r="I183" s="12" t="s">
        <v>61</v>
      </c>
      <c r="J183" s="12" t="s">
        <v>62</v>
      </c>
      <c r="K183" s="12" t="s">
        <v>228</v>
      </c>
      <c r="L183" s="12" t="s">
        <v>198</v>
      </c>
      <c r="M183" s="12" t="s">
        <v>1030</v>
      </c>
      <c r="N183" s="12" t="s">
        <v>1031</v>
      </c>
      <c r="O183" s="12" t="s">
        <v>985</v>
      </c>
      <c r="P183" s="12"/>
      <c r="Q183" s="12"/>
      <c r="R183" s="12" t="s">
        <v>3250</v>
      </c>
      <c r="S183" s="12" t="s">
        <v>3545</v>
      </c>
      <c r="T183" s="12" t="s">
        <v>3495</v>
      </c>
    </row>
    <row r="184" spans="1:20" ht="28" x14ac:dyDescent="0.35">
      <c r="A184" s="12" t="s">
        <v>1033</v>
      </c>
      <c r="B184" s="12" t="s">
        <v>1034</v>
      </c>
      <c r="C184" s="12" t="s">
        <v>122</v>
      </c>
      <c r="D184" s="12" t="s">
        <v>33</v>
      </c>
      <c r="E184" s="12"/>
      <c r="F184" s="28" t="s">
        <v>202</v>
      </c>
      <c r="G184" s="28" t="s">
        <v>313</v>
      </c>
      <c r="H184" s="12" t="s">
        <v>204</v>
      </c>
      <c r="I184" s="12" t="s">
        <v>59</v>
      </c>
      <c r="J184" s="12" t="s">
        <v>60</v>
      </c>
      <c r="K184" s="12" t="s">
        <v>308</v>
      </c>
      <c r="L184" s="12" t="s">
        <v>259</v>
      </c>
      <c r="M184" s="12" t="s">
        <v>1035</v>
      </c>
      <c r="N184" s="12" t="s">
        <v>1036</v>
      </c>
      <c r="O184" s="12" t="s">
        <v>1037</v>
      </c>
      <c r="P184" s="12"/>
      <c r="Q184" s="12"/>
      <c r="R184" s="12" t="s">
        <v>3250</v>
      </c>
      <c r="S184" s="12"/>
      <c r="T184" s="12" t="s">
        <v>3546</v>
      </c>
    </row>
    <row r="185" spans="1:20" ht="56" x14ac:dyDescent="0.35">
      <c r="A185" s="12" t="s">
        <v>1038</v>
      </c>
      <c r="B185" s="12" t="s">
        <v>1039</v>
      </c>
      <c r="C185" s="12" t="s">
        <v>122</v>
      </c>
      <c r="D185" s="12" t="s">
        <v>33</v>
      </c>
      <c r="E185" s="12"/>
      <c r="F185" s="28" t="s">
        <v>202</v>
      </c>
      <c r="G185" s="28" t="s">
        <v>1042</v>
      </c>
      <c r="H185" s="12" t="s">
        <v>204</v>
      </c>
      <c r="I185" s="12" t="s">
        <v>61</v>
      </c>
      <c r="J185" s="12" t="s">
        <v>62</v>
      </c>
      <c r="K185" s="12" t="s">
        <v>331</v>
      </c>
      <c r="L185" s="12" t="s">
        <v>239</v>
      </c>
      <c r="M185" s="12" t="s">
        <v>1040</v>
      </c>
      <c r="N185" s="12" t="s">
        <v>1041</v>
      </c>
      <c r="O185" s="12" t="s">
        <v>1037</v>
      </c>
      <c r="P185" s="12"/>
      <c r="Q185" s="12"/>
      <c r="R185" s="12" t="s">
        <v>3308</v>
      </c>
      <c r="S185" s="12" t="s">
        <v>3547</v>
      </c>
      <c r="T185" s="12" t="s">
        <v>3296</v>
      </c>
    </row>
    <row r="186" spans="1:20" ht="56" x14ac:dyDescent="0.35">
      <c r="A186" s="12" t="s">
        <v>1043</v>
      </c>
      <c r="B186" s="12" t="s">
        <v>1044</v>
      </c>
      <c r="C186" s="12" t="s">
        <v>122</v>
      </c>
      <c r="D186" s="12" t="s">
        <v>33</v>
      </c>
      <c r="E186" s="12"/>
      <c r="F186" s="28" t="s">
        <v>202</v>
      </c>
      <c r="G186" s="28" t="s">
        <v>1048</v>
      </c>
      <c r="H186" s="12" t="s">
        <v>204</v>
      </c>
      <c r="I186" s="12" t="s">
        <v>53</v>
      </c>
      <c r="J186" s="12" t="s">
        <v>54</v>
      </c>
      <c r="K186" s="12" t="s">
        <v>228</v>
      </c>
      <c r="L186" s="12" t="s">
        <v>198</v>
      </c>
      <c r="M186" s="12" t="s">
        <v>1045</v>
      </c>
      <c r="N186" s="12" t="s">
        <v>1046</v>
      </c>
      <c r="O186" s="12" t="s">
        <v>1047</v>
      </c>
      <c r="P186" s="12"/>
      <c r="Q186" s="12"/>
      <c r="R186" s="12" t="s">
        <v>3250</v>
      </c>
      <c r="S186" s="12" t="s">
        <v>3548</v>
      </c>
      <c r="T186" s="12" t="s">
        <v>3549</v>
      </c>
    </row>
    <row r="187" spans="1:20" x14ac:dyDescent="0.35">
      <c r="A187" s="12" t="s">
        <v>1049</v>
      </c>
      <c r="B187" s="12" t="s">
        <v>1050</v>
      </c>
      <c r="C187" s="12" t="s">
        <v>122</v>
      </c>
      <c r="D187" s="12" t="s">
        <v>33</v>
      </c>
      <c r="E187" s="12"/>
      <c r="F187" s="28" t="s">
        <v>209</v>
      </c>
      <c r="G187" s="28" t="s">
        <v>1053</v>
      </c>
      <c r="H187" s="12" t="s">
        <v>1054</v>
      </c>
      <c r="I187" s="12" t="s">
        <v>61</v>
      </c>
      <c r="J187" s="12" t="s">
        <v>62</v>
      </c>
      <c r="K187" s="12" t="s">
        <v>228</v>
      </c>
      <c r="L187" s="12" t="s">
        <v>198</v>
      </c>
      <c r="M187" s="12" t="s">
        <v>1051</v>
      </c>
      <c r="N187" s="12" t="s">
        <v>1052</v>
      </c>
      <c r="O187" s="12" t="s">
        <v>1047</v>
      </c>
      <c r="P187" s="12"/>
      <c r="Q187" s="12"/>
      <c r="R187" s="12"/>
      <c r="S187" s="12"/>
      <c r="T187" s="12" t="s">
        <v>3550</v>
      </c>
    </row>
    <row r="188" spans="1:20" ht="28" x14ac:dyDescent="0.35">
      <c r="A188" s="12" t="s">
        <v>1055</v>
      </c>
      <c r="B188" s="12" t="s">
        <v>1056</v>
      </c>
      <c r="C188" s="12" t="s">
        <v>122</v>
      </c>
      <c r="D188" s="12" t="s">
        <v>38</v>
      </c>
      <c r="E188" s="12"/>
      <c r="F188" s="28" t="s">
        <v>209</v>
      </c>
      <c r="G188" s="28" t="s">
        <v>1059</v>
      </c>
      <c r="H188" s="12" t="s">
        <v>1060</v>
      </c>
      <c r="I188" s="12" t="s">
        <v>55</v>
      </c>
      <c r="J188" s="12" t="s">
        <v>56</v>
      </c>
      <c r="K188" s="12" t="s">
        <v>228</v>
      </c>
      <c r="L188" s="12" t="s">
        <v>198</v>
      </c>
      <c r="M188" s="12" t="s">
        <v>1057</v>
      </c>
      <c r="N188" s="12" t="s">
        <v>1058</v>
      </c>
      <c r="O188" s="12" t="s">
        <v>1047</v>
      </c>
      <c r="P188" s="12"/>
      <c r="Q188" s="12"/>
      <c r="R188" s="12"/>
      <c r="S188" s="12"/>
      <c r="T188" s="12" t="s">
        <v>3551</v>
      </c>
    </row>
    <row r="189" spans="1:20" x14ac:dyDescent="0.35">
      <c r="A189" s="12" t="s">
        <v>2473</v>
      </c>
      <c r="B189" s="12" t="s">
        <v>2474</v>
      </c>
      <c r="C189" s="12" t="s">
        <v>122</v>
      </c>
      <c r="D189" s="12" t="s">
        <v>33</v>
      </c>
      <c r="E189" s="12" t="s">
        <v>2414</v>
      </c>
      <c r="F189" s="28" t="s">
        <v>209</v>
      </c>
      <c r="G189" s="28" t="s">
        <v>2477</v>
      </c>
      <c r="H189" s="12" t="s">
        <v>2478</v>
      </c>
      <c r="I189" s="12" t="s">
        <v>53</v>
      </c>
      <c r="J189" s="12" t="s">
        <v>54</v>
      </c>
      <c r="K189" s="12" t="s">
        <v>228</v>
      </c>
      <c r="L189" s="12" t="s">
        <v>198</v>
      </c>
      <c r="M189" s="12" t="s">
        <v>2475</v>
      </c>
      <c r="N189" s="12" t="s">
        <v>2476</v>
      </c>
      <c r="O189" s="12" t="s">
        <v>1047</v>
      </c>
      <c r="P189" s="12" t="s">
        <v>3325</v>
      </c>
      <c r="Q189" s="12" t="s">
        <v>3552</v>
      </c>
      <c r="R189" s="12"/>
      <c r="S189" s="12" t="s">
        <v>3553</v>
      </c>
      <c r="T189" s="12" t="s">
        <v>3554</v>
      </c>
    </row>
    <row r="190" spans="1:20" ht="70" x14ac:dyDescent="0.35">
      <c r="A190" s="12" t="s">
        <v>1061</v>
      </c>
      <c r="B190" s="12" t="s">
        <v>1062</v>
      </c>
      <c r="C190" s="12" t="s">
        <v>122</v>
      </c>
      <c r="D190" s="12" t="s">
        <v>33</v>
      </c>
      <c r="E190" s="12"/>
      <c r="F190" s="28" t="s">
        <v>202</v>
      </c>
      <c r="G190" s="28" t="s">
        <v>1065</v>
      </c>
      <c r="H190" s="12" t="s">
        <v>204</v>
      </c>
      <c r="I190" s="12" t="s">
        <v>71</v>
      </c>
      <c r="J190" s="12" t="s">
        <v>72</v>
      </c>
      <c r="K190" s="12" t="s">
        <v>228</v>
      </c>
      <c r="L190" s="12" t="s">
        <v>198</v>
      </c>
      <c r="M190" s="12" t="s">
        <v>1063</v>
      </c>
      <c r="N190" s="12" t="s">
        <v>1064</v>
      </c>
      <c r="O190" s="12" t="s">
        <v>1047</v>
      </c>
      <c r="P190" s="12"/>
      <c r="Q190" s="12"/>
      <c r="R190" s="12" t="s">
        <v>3250</v>
      </c>
      <c r="S190" s="12"/>
      <c r="T190" s="12" t="s">
        <v>3555</v>
      </c>
    </row>
    <row r="191" spans="1:20" x14ac:dyDescent="0.35">
      <c r="A191" s="12" t="s">
        <v>1066</v>
      </c>
      <c r="B191" s="12" t="s">
        <v>1067</v>
      </c>
      <c r="C191" s="12" t="s">
        <v>122</v>
      </c>
      <c r="D191" s="12" t="s">
        <v>33</v>
      </c>
      <c r="E191" s="12"/>
      <c r="F191" s="28" t="s">
        <v>209</v>
      </c>
      <c r="G191" s="28" t="s">
        <v>1070</v>
      </c>
      <c r="H191" s="12" t="s">
        <v>1071</v>
      </c>
      <c r="I191" s="12" t="s">
        <v>53</v>
      </c>
      <c r="J191" s="12" t="s">
        <v>54</v>
      </c>
      <c r="K191" s="12" t="s">
        <v>308</v>
      </c>
      <c r="L191" s="12" t="s">
        <v>259</v>
      </c>
      <c r="M191" s="12" t="s">
        <v>1068</v>
      </c>
      <c r="N191" s="12" t="s">
        <v>1069</v>
      </c>
      <c r="O191" s="12" t="s">
        <v>1047</v>
      </c>
      <c r="P191" s="12"/>
      <c r="Q191" s="12"/>
      <c r="R191" s="12"/>
      <c r="S191" s="12" t="s">
        <v>3556</v>
      </c>
      <c r="T191" s="12" t="s">
        <v>3557</v>
      </c>
    </row>
    <row r="192" spans="1:20" x14ac:dyDescent="0.35">
      <c r="A192" s="12" t="s">
        <v>1072</v>
      </c>
      <c r="B192" s="12" t="s">
        <v>1073</v>
      </c>
      <c r="C192" s="12" t="s">
        <v>122</v>
      </c>
      <c r="D192" s="12" t="s">
        <v>33</v>
      </c>
      <c r="E192" s="12"/>
      <c r="F192" s="28" t="s">
        <v>209</v>
      </c>
      <c r="G192" s="28" t="s">
        <v>1076</v>
      </c>
      <c r="H192" s="12" t="s">
        <v>1077</v>
      </c>
      <c r="I192" s="12" t="s">
        <v>53</v>
      </c>
      <c r="J192" s="12" t="s">
        <v>54</v>
      </c>
      <c r="K192" s="12" t="s">
        <v>228</v>
      </c>
      <c r="L192" s="12" t="s">
        <v>198</v>
      </c>
      <c r="M192" s="12" t="s">
        <v>1074</v>
      </c>
      <c r="N192" s="12" t="s">
        <v>1075</v>
      </c>
      <c r="O192" s="12" t="s">
        <v>1047</v>
      </c>
      <c r="P192" s="12"/>
      <c r="Q192" s="12"/>
      <c r="R192" s="12"/>
      <c r="S192" s="12"/>
      <c r="T192" s="12" t="s">
        <v>3558</v>
      </c>
    </row>
    <row r="193" spans="1:20" x14ac:dyDescent="0.35">
      <c r="A193" s="12" t="s">
        <v>1078</v>
      </c>
      <c r="B193" s="12" t="s">
        <v>1079</v>
      </c>
      <c r="C193" s="12" t="s">
        <v>122</v>
      </c>
      <c r="D193" s="12" t="s">
        <v>33</v>
      </c>
      <c r="E193" s="12"/>
      <c r="F193" s="28" t="s">
        <v>209</v>
      </c>
      <c r="G193" s="28" t="s">
        <v>1082</v>
      </c>
      <c r="H193" s="12" t="s">
        <v>1083</v>
      </c>
      <c r="I193" s="12" t="s">
        <v>59</v>
      </c>
      <c r="J193" s="12" t="s">
        <v>60</v>
      </c>
      <c r="K193" s="12" t="s">
        <v>308</v>
      </c>
      <c r="L193" s="12" t="s">
        <v>259</v>
      </c>
      <c r="M193" s="12" t="s">
        <v>1080</v>
      </c>
      <c r="N193" s="12" t="s">
        <v>1081</v>
      </c>
      <c r="O193" s="12" t="s">
        <v>1047</v>
      </c>
      <c r="P193" s="12"/>
      <c r="Q193" s="12"/>
      <c r="R193" s="12"/>
      <c r="S193" s="12"/>
      <c r="T193" s="12" t="s">
        <v>3559</v>
      </c>
    </row>
    <row r="194" spans="1:20" ht="28" x14ac:dyDescent="0.35">
      <c r="A194" s="12" t="s">
        <v>1084</v>
      </c>
      <c r="B194" s="12" t="s">
        <v>1085</v>
      </c>
      <c r="C194" s="12" t="s">
        <v>122</v>
      </c>
      <c r="D194" s="12" t="s">
        <v>38</v>
      </c>
      <c r="E194" s="12"/>
      <c r="F194" s="28" t="s">
        <v>209</v>
      </c>
      <c r="G194" s="28" t="s">
        <v>1088</v>
      </c>
      <c r="H194" s="12" t="s">
        <v>1089</v>
      </c>
      <c r="I194" s="12" t="s">
        <v>55</v>
      </c>
      <c r="J194" s="12" t="s">
        <v>56</v>
      </c>
      <c r="K194" s="12" t="s">
        <v>331</v>
      </c>
      <c r="L194" s="12" t="s">
        <v>239</v>
      </c>
      <c r="M194" s="12" t="s">
        <v>1086</v>
      </c>
      <c r="N194" s="12" t="s">
        <v>1087</v>
      </c>
      <c r="O194" s="12" t="s">
        <v>1047</v>
      </c>
      <c r="P194" s="12"/>
      <c r="Q194" s="12"/>
      <c r="R194" s="12"/>
      <c r="S194" s="12" t="s">
        <v>3560</v>
      </c>
      <c r="T194" s="12" t="s">
        <v>3561</v>
      </c>
    </row>
    <row r="195" spans="1:20" ht="28" x14ac:dyDescent="0.35">
      <c r="A195" s="12" t="s">
        <v>1090</v>
      </c>
      <c r="B195" s="12" t="s">
        <v>1091</v>
      </c>
      <c r="C195" s="12" t="s">
        <v>122</v>
      </c>
      <c r="D195" s="12" t="s">
        <v>34</v>
      </c>
      <c r="E195" s="12"/>
      <c r="F195" s="28" t="s">
        <v>202</v>
      </c>
      <c r="G195" s="28" t="s">
        <v>468</v>
      </c>
      <c r="H195" s="12" t="s">
        <v>204</v>
      </c>
      <c r="I195" s="12" t="s">
        <v>65</v>
      </c>
      <c r="J195" s="12" t="s">
        <v>66</v>
      </c>
      <c r="K195" s="12" t="s">
        <v>308</v>
      </c>
      <c r="L195" s="12" t="s">
        <v>259</v>
      </c>
      <c r="M195" s="12" t="s">
        <v>1092</v>
      </c>
      <c r="N195" s="12" t="s">
        <v>1093</v>
      </c>
      <c r="O195" s="12" t="s">
        <v>1047</v>
      </c>
      <c r="P195" s="12"/>
      <c r="Q195" s="12"/>
      <c r="R195" s="12" t="s">
        <v>3562</v>
      </c>
      <c r="S195" s="12"/>
      <c r="T195" s="12" t="s">
        <v>3563</v>
      </c>
    </row>
    <row r="196" spans="1:20" ht="42" x14ac:dyDescent="0.35">
      <c r="A196" s="12" t="s">
        <v>1094</v>
      </c>
      <c r="B196" s="12" t="s">
        <v>1095</v>
      </c>
      <c r="C196" s="12" t="s">
        <v>122</v>
      </c>
      <c r="D196" s="12" t="s">
        <v>33</v>
      </c>
      <c r="E196" s="12"/>
      <c r="F196" s="28" t="s">
        <v>216</v>
      </c>
      <c r="G196" s="28" t="s">
        <v>1096</v>
      </c>
      <c r="H196" s="12" t="s">
        <v>1097</v>
      </c>
      <c r="I196" s="12" t="s">
        <v>55</v>
      </c>
      <c r="J196" s="12" t="s">
        <v>56</v>
      </c>
      <c r="K196" s="12" t="s">
        <v>331</v>
      </c>
      <c r="L196" s="12" t="s">
        <v>239</v>
      </c>
      <c r="M196" s="12" t="s">
        <v>1051</v>
      </c>
      <c r="N196" s="12" t="s">
        <v>1052</v>
      </c>
      <c r="O196" s="12" t="s">
        <v>1047</v>
      </c>
      <c r="P196" s="12"/>
      <c r="Q196" s="12"/>
      <c r="R196" s="12"/>
      <c r="S196" s="12" t="s">
        <v>3564</v>
      </c>
      <c r="T196" s="12" t="s">
        <v>3565</v>
      </c>
    </row>
    <row r="197" spans="1:20" x14ac:dyDescent="0.35">
      <c r="A197" s="12" t="s">
        <v>1098</v>
      </c>
      <c r="B197" s="12" t="s">
        <v>1099</v>
      </c>
      <c r="C197" s="12" t="s">
        <v>122</v>
      </c>
      <c r="D197" s="12" t="s">
        <v>33</v>
      </c>
      <c r="E197" s="12"/>
      <c r="F197" s="28" t="s">
        <v>209</v>
      </c>
      <c r="G197" s="28" t="s">
        <v>1102</v>
      </c>
      <c r="H197" s="12" t="s">
        <v>1103</v>
      </c>
      <c r="I197" s="12" t="s">
        <v>67</v>
      </c>
      <c r="J197" s="12" t="s">
        <v>68</v>
      </c>
      <c r="K197" s="12" t="s">
        <v>308</v>
      </c>
      <c r="L197" s="12" t="s">
        <v>259</v>
      </c>
      <c r="M197" s="12" t="s">
        <v>1100</v>
      </c>
      <c r="N197" s="12" t="s">
        <v>1101</v>
      </c>
      <c r="O197" s="12" t="s">
        <v>1047</v>
      </c>
      <c r="P197" s="12"/>
      <c r="Q197" s="12"/>
      <c r="R197" s="12"/>
      <c r="S197" s="12"/>
      <c r="T197" s="12" t="s">
        <v>3566</v>
      </c>
    </row>
    <row r="198" spans="1:20" ht="28" x14ac:dyDescent="0.35">
      <c r="A198" s="12" t="s">
        <v>1104</v>
      </c>
      <c r="B198" s="12" t="s">
        <v>1105</v>
      </c>
      <c r="C198" s="12" t="s">
        <v>122</v>
      </c>
      <c r="D198" s="12" t="s">
        <v>33</v>
      </c>
      <c r="E198" s="12"/>
      <c r="F198" s="28" t="s">
        <v>202</v>
      </c>
      <c r="G198" s="28" t="s">
        <v>414</v>
      </c>
      <c r="H198" s="12" t="s">
        <v>204</v>
      </c>
      <c r="I198" s="12" t="s">
        <v>57</v>
      </c>
      <c r="J198" s="12" t="s">
        <v>58</v>
      </c>
      <c r="K198" s="12" t="s">
        <v>308</v>
      </c>
      <c r="L198" s="12" t="s">
        <v>259</v>
      </c>
      <c r="M198" s="12" t="s">
        <v>1106</v>
      </c>
      <c r="N198" s="12" t="s">
        <v>1107</v>
      </c>
      <c r="O198" s="12" t="s">
        <v>1047</v>
      </c>
      <c r="P198" s="12"/>
      <c r="Q198" s="12"/>
      <c r="R198" s="12" t="s">
        <v>3250</v>
      </c>
      <c r="S198" s="12" t="s">
        <v>3567</v>
      </c>
      <c r="T198" s="12" t="s">
        <v>3568</v>
      </c>
    </row>
    <row r="199" spans="1:20" x14ac:dyDescent="0.35">
      <c r="A199" s="12" t="s">
        <v>1108</v>
      </c>
      <c r="B199" s="12" t="s">
        <v>1109</v>
      </c>
      <c r="C199" s="12" t="s">
        <v>122</v>
      </c>
      <c r="D199" s="12" t="s">
        <v>33</v>
      </c>
      <c r="E199" s="12"/>
      <c r="F199" s="28" t="s">
        <v>209</v>
      </c>
      <c r="G199" s="28" t="s">
        <v>1112</v>
      </c>
      <c r="H199" s="12" t="s">
        <v>1113</v>
      </c>
      <c r="I199" s="12" t="s">
        <v>53</v>
      </c>
      <c r="J199" s="12" t="s">
        <v>54</v>
      </c>
      <c r="K199" s="12" t="s">
        <v>228</v>
      </c>
      <c r="L199" s="12" t="s">
        <v>198</v>
      </c>
      <c r="M199" s="12" t="s">
        <v>1110</v>
      </c>
      <c r="N199" s="12" t="s">
        <v>1111</v>
      </c>
      <c r="O199" s="12" t="s">
        <v>1047</v>
      </c>
      <c r="P199" s="12"/>
      <c r="Q199" s="12"/>
      <c r="R199" s="12"/>
      <c r="S199" s="12"/>
      <c r="T199" s="12" t="s">
        <v>3569</v>
      </c>
    </row>
    <row r="200" spans="1:20" ht="28" x14ac:dyDescent="0.35">
      <c r="A200" s="12" t="s">
        <v>1114</v>
      </c>
      <c r="B200" s="12" t="s">
        <v>1115</v>
      </c>
      <c r="C200" s="12" t="s">
        <v>122</v>
      </c>
      <c r="D200" s="12" t="s">
        <v>33</v>
      </c>
      <c r="E200" s="12"/>
      <c r="F200" s="28" t="s">
        <v>202</v>
      </c>
      <c r="G200" s="28" t="s">
        <v>371</v>
      </c>
      <c r="H200" s="12" t="s">
        <v>204</v>
      </c>
      <c r="I200" s="12" t="s">
        <v>55</v>
      </c>
      <c r="J200" s="12" t="s">
        <v>56</v>
      </c>
      <c r="K200" s="12" t="s">
        <v>308</v>
      </c>
      <c r="L200" s="12" t="s">
        <v>259</v>
      </c>
      <c r="M200" s="12" t="s">
        <v>1116</v>
      </c>
      <c r="N200" s="12" t="s">
        <v>1117</v>
      </c>
      <c r="O200" s="12" t="s">
        <v>1047</v>
      </c>
      <c r="P200" s="12"/>
      <c r="Q200" s="12"/>
      <c r="R200" s="12" t="s">
        <v>3293</v>
      </c>
      <c r="S200" s="12"/>
      <c r="T200" s="12" t="s">
        <v>3570</v>
      </c>
    </row>
    <row r="201" spans="1:20" ht="56" x14ac:dyDescent="0.35">
      <c r="A201" s="12" t="s">
        <v>1118</v>
      </c>
      <c r="B201" s="12" t="s">
        <v>1119</v>
      </c>
      <c r="C201" s="12" t="s">
        <v>122</v>
      </c>
      <c r="D201" s="12" t="s">
        <v>33</v>
      </c>
      <c r="E201" s="12"/>
      <c r="F201" s="28" t="s">
        <v>202</v>
      </c>
      <c r="G201" s="28" t="s">
        <v>1123</v>
      </c>
      <c r="H201" s="12" t="s">
        <v>204</v>
      </c>
      <c r="I201" s="12" t="s">
        <v>77</v>
      </c>
      <c r="J201" s="12" t="s">
        <v>78</v>
      </c>
      <c r="K201" s="12" t="s">
        <v>228</v>
      </c>
      <c r="L201" s="12" t="s">
        <v>198</v>
      </c>
      <c r="M201" s="12" t="s">
        <v>1120</v>
      </c>
      <c r="N201" s="12" t="s">
        <v>1121</v>
      </c>
      <c r="O201" s="12" t="s">
        <v>1122</v>
      </c>
      <c r="P201" s="12"/>
      <c r="Q201" s="12"/>
      <c r="R201" s="12" t="s">
        <v>3250</v>
      </c>
      <c r="S201" s="12"/>
      <c r="T201" s="12" t="s">
        <v>3571</v>
      </c>
    </row>
    <row r="202" spans="1:20" ht="42" x14ac:dyDescent="0.35">
      <c r="A202" s="12" t="s">
        <v>1124</v>
      </c>
      <c r="B202" s="12" t="s">
        <v>1125</v>
      </c>
      <c r="C202" s="12" t="s">
        <v>122</v>
      </c>
      <c r="D202" s="12" t="s">
        <v>34</v>
      </c>
      <c r="E202" s="12"/>
      <c r="F202" s="28" t="s">
        <v>202</v>
      </c>
      <c r="G202" s="28" t="s">
        <v>1128</v>
      </c>
      <c r="H202" s="12" t="s">
        <v>204</v>
      </c>
      <c r="I202" s="12" t="s">
        <v>63</v>
      </c>
      <c r="J202" s="12" t="s">
        <v>64</v>
      </c>
      <c r="K202" s="12" t="s">
        <v>308</v>
      </c>
      <c r="L202" s="12" t="s">
        <v>259</v>
      </c>
      <c r="M202" s="12" t="s">
        <v>1126</v>
      </c>
      <c r="N202" s="12" t="s">
        <v>1127</v>
      </c>
      <c r="O202" s="12" t="s">
        <v>1122</v>
      </c>
      <c r="P202" s="12"/>
      <c r="Q202" s="12"/>
      <c r="R202" s="12" t="s">
        <v>3250</v>
      </c>
      <c r="S202" s="12"/>
      <c r="T202" s="12" t="s">
        <v>3572</v>
      </c>
    </row>
    <row r="203" spans="1:20" ht="28" x14ac:dyDescent="0.35">
      <c r="A203" s="12" t="s">
        <v>1129</v>
      </c>
      <c r="B203" s="12" t="s">
        <v>1130</v>
      </c>
      <c r="C203" s="12" t="s">
        <v>122</v>
      </c>
      <c r="D203" s="12" t="s">
        <v>33</v>
      </c>
      <c r="E203" s="12"/>
      <c r="F203" s="28" t="s">
        <v>202</v>
      </c>
      <c r="G203" s="28" t="s">
        <v>371</v>
      </c>
      <c r="H203" s="12" t="s">
        <v>204</v>
      </c>
      <c r="I203" s="12" t="s">
        <v>55</v>
      </c>
      <c r="J203" s="12" t="s">
        <v>56</v>
      </c>
      <c r="K203" s="12" t="s">
        <v>228</v>
      </c>
      <c r="L203" s="12" t="s">
        <v>198</v>
      </c>
      <c r="M203" s="12" t="s">
        <v>1131</v>
      </c>
      <c r="N203" s="12" t="s">
        <v>1132</v>
      </c>
      <c r="O203" s="12" t="s">
        <v>1122</v>
      </c>
      <c r="P203" s="12"/>
      <c r="Q203" s="12"/>
      <c r="R203" s="12" t="s">
        <v>3250</v>
      </c>
      <c r="S203" s="12"/>
      <c r="T203" s="12" t="s">
        <v>3573</v>
      </c>
    </row>
    <row r="204" spans="1:20" ht="28" x14ac:dyDescent="0.35">
      <c r="A204" s="12" t="s">
        <v>1133</v>
      </c>
      <c r="B204" s="12" t="s">
        <v>1134</v>
      </c>
      <c r="C204" s="12" t="s">
        <v>122</v>
      </c>
      <c r="D204" s="12" t="s">
        <v>33</v>
      </c>
      <c r="E204" s="12"/>
      <c r="F204" s="28" t="s">
        <v>202</v>
      </c>
      <c r="G204" s="28" t="s">
        <v>229</v>
      </c>
      <c r="H204" s="12" t="s">
        <v>204</v>
      </c>
      <c r="I204" s="12" t="s">
        <v>53</v>
      </c>
      <c r="J204" s="12" t="s">
        <v>54</v>
      </c>
      <c r="K204" s="12" t="s">
        <v>228</v>
      </c>
      <c r="L204" s="12" t="s">
        <v>198</v>
      </c>
      <c r="M204" s="12" t="s">
        <v>1135</v>
      </c>
      <c r="N204" s="12" t="s">
        <v>1136</v>
      </c>
      <c r="O204" s="12" t="s">
        <v>1122</v>
      </c>
      <c r="P204" s="12"/>
      <c r="Q204" s="12"/>
      <c r="R204" s="12" t="s">
        <v>3250</v>
      </c>
      <c r="S204" s="12"/>
      <c r="T204" s="12" t="s">
        <v>3574</v>
      </c>
    </row>
    <row r="205" spans="1:20" x14ac:dyDescent="0.35">
      <c r="A205" s="12" t="s">
        <v>1137</v>
      </c>
      <c r="B205" s="12" t="s">
        <v>1138</v>
      </c>
      <c r="C205" s="12" t="s">
        <v>122</v>
      </c>
      <c r="D205" s="12" t="s">
        <v>34</v>
      </c>
      <c r="E205" s="12"/>
      <c r="F205" s="28" t="s">
        <v>216</v>
      </c>
      <c r="G205" s="28" t="s">
        <v>1139</v>
      </c>
      <c r="H205" s="12" t="s">
        <v>1140</v>
      </c>
      <c r="I205" s="12" t="s">
        <v>63</v>
      </c>
      <c r="J205" s="12" t="s">
        <v>64</v>
      </c>
      <c r="K205" s="12" t="s">
        <v>308</v>
      </c>
      <c r="L205" s="12" t="s">
        <v>259</v>
      </c>
      <c r="M205" s="12" t="s">
        <v>1120</v>
      </c>
      <c r="N205" s="12" t="s">
        <v>1121</v>
      </c>
      <c r="O205" s="12" t="s">
        <v>1122</v>
      </c>
      <c r="P205" s="12"/>
      <c r="Q205" s="12"/>
      <c r="R205" s="12"/>
      <c r="S205" s="12" t="s">
        <v>3575</v>
      </c>
      <c r="T205" s="12" t="s">
        <v>3538</v>
      </c>
    </row>
    <row r="206" spans="1:20" x14ac:dyDescent="0.35">
      <c r="A206" s="12" t="s">
        <v>1141</v>
      </c>
      <c r="B206" s="12" t="s">
        <v>1142</v>
      </c>
      <c r="C206" s="12" t="s">
        <v>122</v>
      </c>
      <c r="D206" s="12" t="s">
        <v>33</v>
      </c>
      <c r="E206" s="12"/>
      <c r="F206" s="28" t="s">
        <v>209</v>
      </c>
      <c r="G206" s="28" t="s">
        <v>1145</v>
      </c>
      <c r="H206" s="12" t="s">
        <v>1146</v>
      </c>
      <c r="I206" s="12" t="s">
        <v>53</v>
      </c>
      <c r="J206" s="12" t="s">
        <v>54</v>
      </c>
      <c r="K206" s="12" t="s">
        <v>308</v>
      </c>
      <c r="L206" s="12" t="s">
        <v>259</v>
      </c>
      <c r="M206" s="12" t="s">
        <v>1143</v>
      </c>
      <c r="N206" s="12" t="s">
        <v>1144</v>
      </c>
      <c r="O206" s="12" t="s">
        <v>1122</v>
      </c>
      <c r="P206" s="12"/>
      <c r="Q206" s="12"/>
      <c r="R206" s="12"/>
      <c r="S206" s="12"/>
      <c r="T206" s="12" t="s">
        <v>3345</v>
      </c>
    </row>
    <row r="207" spans="1:20" x14ac:dyDescent="0.35">
      <c r="A207" s="12" t="s">
        <v>1147</v>
      </c>
      <c r="B207" s="12" t="s">
        <v>1148</v>
      </c>
      <c r="C207" s="12" t="s">
        <v>122</v>
      </c>
      <c r="D207" s="12" t="s">
        <v>33</v>
      </c>
      <c r="E207" s="12"/>
      <c r="F207" s="28" t="s">
        <v>209</v>
      </c>
      <c r="G207" s="28" t="s">
        <v>1149</v>
      </c>
      <c r="H207" s="12" t="s">
        <v>1150</v>
      </c>
      <c r="I207" s="12" t="s">
        <v>65</v>
      </c>
      <c r="J207" s="12" t="s">
        <v>66</v>
      </c>
      <c r="K207" s="12" t="s">
        <v>331</v>
      </c>
      <c r="L207" s="12" t="s">
        <v>239</v>
      </c>
      <c r="M207" s="12" t="s">
        <v>1126</v>
      </c>
      <c r="N207" s="12" t="s">
        <v>1127</v>
      </c>
      <c r="O207" s="12" t="s">
        <v>1122</v>
      </c>
      <c r="P207" s="12"/>
      <c r="Q207" s="12"/>
      <c r="R207" s="12"/>
      <c r="S207" s="12" t="s">
        <v>3576</v>
      </c>
      <c r="T207" s="12" t="s">
        <v>3577</v>
      </c>
    </row>
    <row r="208" spans="1:20" ht="56" x14ac:dyDescent="0.35">
      <c r="A208" s="12" t="s">
        <v>1151</v>
      </c>
      <c r="B208" s="12" t="s">
        <v>1152</v>
      </c>
      <c r="C208" s="12" t="s">
        <v>122</v>
      </c>
      <c r="D208" s="12" t="s">
        <v>33</v>
      </c>
      <c r="E208" s="12"/>
      <c r="F208" s="28" t="s">
        <v>216</v>
      </c>
      <c r="G208" s="28" t="s">
        <v>1155</v>
      </c>
      <c r="H208" s="12" t="s">
        <v>1156</v>
      </c>
      <c r="I208" s="12" t="s">
        <v>53</v>
      </c>
      <c r="J208" s="12" t="s">
        <v>54</v>
      </c>
      <c r="K208" s="12" t="s">
        <v>228</v>
      </c>
      <c r="L208" s="12" t="s">
        <v>198</v>
      </c>
      <c r="M208" s="12" t="s">
        <v>1153</v>
      </c>
      <c r="N208" s="12" t="s">
        <v>1154</v>
      </c>
      <c r="O208" s="12" t="s">
        <v>1122</v>
      </c>
      <c r="P208" s="12"/>
      <c r="Q208" s="12"/>
      <c r="R208" s="12"/>
      <c r="S208" s="12" t="s">
        <v>3578</v>
      </c>
      <c r="T208" s="12" t="s">
        <v>3579</v>
      </c>
    </row>
    <row r="209" spans="1:20" ht="28" x14ac:dyDescent="0.35">
      <c r="A209" s="12" t="s">
        <v>1157</v>
      </c>
      <c r="B209" s="12" t="s">
        <v>1158</v>
      </c>
      <c r="C209" s="12" t="s">
        <v>122</v>
      </c>
      <c r="D209" s="12" t="s">
        <v>33</v>
      </c>
      <c r="E209" s="12"/>
      <c r="F209" s="28" t="s">
        <v>202</v>
      </c>
      <c r="G209" s="28" t="s">
        <v>371</v>
      </c>
      <c r="H209" s="12" t="s">
        <v>204</v>
      </c>
      <c r="I209" s="12" t="s">
        <v>55</v>
      </c>
      <c r="J209" s="12" t="s">
        <v>56</v>
      </c>
      <c r="K209" s="12" t="s">
        <v>331</v>
      </c>
      <c r="L209" s="12" t="s">
        <v>239</v>
      </c>
      <c r="M209" s="12" t="s">
        <v>1159</v>
      </c>
      <c r="N209" s="12" t="s">
        <v>1160</v>
      </c>
      <c r="O209" s="12" t="s">
        <v>1122</v>
      </c>
      <c r="P209" s="12"/>
      <c r="Q209" s="12"/>
      <c r="R209" s="12" t="s">
        <v>3580</v>
      </c>
      <c r="S209" s="12"/>
      <c r="T209" s="12" t="s">
        <v>3581</v>
      </c>
    </row>
    <row r="210" spans="1:20" ht="28" x14ac:dyDescent="0.35">
      <c r="A210" s="12" t="s">
        <v>1161</v>
      </c>
      <c r="B210" s="12" t="s">
        <v>1162</v>
      </c>
      <c r="C210" s="12" t="s">
        <v>122</v>
      </c>
      <c r="D210" s="12" t="s">
        <v>33</v>
      </c>
      <c r="E210" s="12"/>
      <c r="F210" s="28" t="s">
        <v>202</v>
      </c>
      <c r="G210" s="28" t="s">
        <v>930</v>
      </c>
      <c r="H210" s="12" t="s">
        <v>204</v>
      </c>
      <c r="I210" s="12" t="s">
        <v>63</v>
      </c>
      <c r="J210" s="12" t="s">
        <v>64</v>
      </c>
      <c r="K210" s="12" t="s">
        <v>228</v>
      </c>
      <c r="L210" s="12" t="s">
        <v>198</v>
      </c>
      <c r="M210" s="12" t="s">
        <v>1163</v>
      </c>
      <c r="N210" s="12" t="s">
        <v>1164</v>
      </c>
      <c r="O210" s="12" t="s">
        <v>1165</v>
      </c>
      <c r="P210" s="12"/>
      <c r="Q210" s="12"/>
      <c r="R210" s="12" t="s">
        <v>3250</v>
      </c>
      <c r="S210" s="12"/>
      <c r="T210" s="12" t="s">
        <v>3582</v>
      </c>
    </row>
    <row r="211" spans="1:20" ht="28" x14ac:dyDescent="0.35">
      <c r="A211" s="12" t="s">
        <v>1166</v>
      </c>
      <c r="B211" s="12" t="s">
        <v>1167</v>
      </c>
      <c r="C211" s="12" t="s">
        <v>122</v>
      </c>
      <c r="D211" s="12" t="s">
        <v>33</v>
      </c>
      <c r="E211" s="12"/>
      <c r="F211" s="28" t="s">
        <v>202</v>
      </c>
      <c r="G211" s="28" t="s">
        <v>229</v>
      </c>
      <c r="H211" s="12" t="s">
        <v>204</v>
      </c>
      <c r="I211" s="12" t="s">
        <v>53</v>
      </c>
      <c r="J211" s="12" t="s">
        <v>54</v>
      </c>
      <c r="K211" s="12" t="s">
        <v>228</v>
      </c>
      <c r="L211" s="12" t="s">
        <v>198</v>
      </c>
      <c r="M211" s="12" t="s">
        <v>1168</v>
      </c>
      <c r="N211" s="12" t="s">
        <v>1169</v>
      </c>
      <c r="O211" s="12" t="s">
        <v>1165</v>
      </c>
      <c r="P211" s="12"/>
      <c r="Q211" s="12"/>
      <c r="R211" s="12" t="s">
        <v>3250</v>
      </c>
      <c r="S211" s="12"/>
      <c r="T211" s="12" t="s">
        <v>3583</v>
      </c>
    </row>
    <row r="212" spans="1:20" x14ac:dyDescent="0.35">
      <c r="A212" s="12" t="s">
        <v>1170</v>
      </c>
      <c r="B212" s="12" t="s">
        <v>1171</v>
      </c>
      <c r="C212" s="12" t="s">
        <v>122</v>
      </c>
      <c r="D212" s="12" t="s">
        <v>33</v>
      </c>
      <c r="E212" s="12"/>
      <c r="F212" s="28" t="s">
        <v>209</v>
      </c>
      <c r="G212" s="28" t="s">
        <v>1175</v>
      </c>
      <c r="H212" s="12" t="s">
        <v>1176</v>
      </c>
      <c r="I212" s="12" t="s">
        <v>63</v>
      </c>
      <c r="J212" s="12" t="s">
        <v>64</v>
      </c>
      <c r="K212" s="12" t="s">
        <v>228</v>
      </c>
      <c r="L212" s="12" t="s">
        <v>198</v>
      </c>
      <c r="M212" s="12" t="s">
        <v>1172</v>
      </c>
      <c r="N212" s="12" t="s">
        <v>1173</v>
      </c>
      <c r="O212" s="12" t="s">
        <v>1174</v>
      </c>
      <c r="P212" s="12"/>
      <c r="Q212" s="12"/>
      <c r="R212" s="12"/>
      <c r="S212" s="12" t="s">
        <v>3584</v>
      </c>
      <c r="T212" s="12" t="s">
        <v>3585</v>
      </c>
    </row>
    <row r="213" spans="1:20" ht="28" x14ac:dyDescent="0.35">
      <c r="A213" s="12" t="s">
        <v>1177</v>
      </c>
      <c r="B213" s="12" t="s">
        <v>1178</v>
      </c>
      <c r="C213" s="12" t="s">
        <v>122</v>
      </c>
      <c r="D213" s="12" t="s">
        <v>33</v>
      </c>
      <c r="E213" s="12"/>
      <c r="F213" s="28" t="s">
        <v>202</v>
      </c>
      <c r="G213" s="28" t="s">
        <v>313</v>
      </c>
      <c r="H213" s="12" t="s">
        <v>204</v>
      </c>
      <c r="I213" s="12" t="s">
        <v>59</v>
      </c>
      <c r="J213" s="12" t="s">
        <v>60</v>
      </c>
      <c r="K213" s="12" t="s">
        <v>308</v>
      </c>
      <c r="L213" s="12" t="s">
        <v>259</v>
      </c>
      <c r="M213" s="12" t="s">
        <v>1172</v>
      </c>
      <c r="N213" s="12" t="s">
        <v>1173</v>
      </c>
      <c r="O213" s="12" t="s">
        <v>1174</v>
      </c>
      <c r="P213" s="12"/>
      <c r="Q213" s="12"/>
      <c r="R213" s="12" t="s">
        <v>3266</v>
      </c>
      <c r="S213" s="12"/>
      <c r="T213" s="12" t="s">
        <v>3586</v>
      </c>
    </row>
    <row r="214" spans="1:20" ht="28" x14ac:dyDescent="0.35">
      <c r="A214" s="12" t="s">
        <v>1179</v>
      </c>
      <c r="B214" s="12" t="s">
        <v>1180</v>
      </c>
      <c r="C214" s="12" t="s">
        <v>122</v>
      </c>
      <c r="D214" s="12" t="s">
        <v>33</v>
      </c>
      <c r="E214" s="12"/>
      <c r="F214" s="28" t="s">
        <v>202</v>
      </c>
      <c r="G214" s="28" t="s">
        <v>313</v>
      </c>
      <c r="H214" s="12" t="s">
        <v>204</v>
      </c>
      <c r="I214" s="12" t="s">
        <v>59</v>
      </c>
      <c r="J214" s="12" t="s">
        <v>60</v>
      </c>
      <c r="K214" s="12" t="s">
        <v>228</v>
      </c>
      <c r="L214" s="12" t="s">
        <v>198</v>
      </c>
      <c r="M214" s="12" t="s">
        <v>1181</v>
      </c>
      <c r="N214" s="12" t="s">
        <v>1173</v>
      </c>
      <c r="O214" s="12" t="s">
        <v>1174</v>
      </c>
      <c r="P214" s="12"/>
      <c r="Q214" s="12"/>
      <c r="R214" s="12" t="s">
        <v>3250</v>
      </c>
      <c r="S214" s="12"/>
      <c r="T214" s="12" t="s">
        <v>3587</v>
      </c>
    </row>
    <row r="215" spans="1:20" ht="28" x14ac:dyDescent="0.35">
      <c r="A215" s="12" t="s">
        <v>1182</v>
      </c>
      <c r="B215" s="12" t="s">
        <v>1183</v>
      </c>
      <c r="C215" s="12" t="s">
        <v>122</v>
      </c>
      <c r="D215" s="12" t="s">
        <v>33</v>
      </c>
      <c r="E215" s="12"/>
      <c r="F215" s="28" t="s">
        <v>202</v>
      </c>
      <c r="G215" s="28" t="s">
        <v>313</v>
      </c>
      <c r="H215" s="12" t="s">
        <v>204</v>
      </c>
      <c r="I215" s="12" t="s">
        <v>59</v>
      </c>
      <c r="J215" s="12" t="s">
        <v>60</v>
      </c>
      <c r="K215" s="12" t="s">
        <v>308</v>
      </c>
      <c r="L215" s="12" t="s">
        <v>259</v>
      </c>
      <c r="M215" s="12" t="s">
        <v>1172</v>
      </c>
      <c r="N215" s="12" t="s">
        <v>1173</v>
      </c>
      <c r="O215" s="12" t="s">
        <v>1174</v>
      </c>
      <c r="P215" s="12"/>
      <c r="Q215" s="12"/>
      <c r="R215" s="12" t="s">
        <v>3588</v>
      </c>
      <c r="S215" s="12"/>
      <c r="T215" s="12" t="s">
        <v>3589</v>
      </c>
    </row>
    <row r="216" spans="1:20" ht="28" x14ac:dyDescent="0.35">
      <c r="A216" s="12" t="s">
        <v>1184</v>
      </c>
      <c r="B216" s="12" t="s">
        <v>1185</v>
      </c>
      <c r="C216" s="12" t="s">
        <v>122</v>
      </c>
      <c r="D216" s="12" t="s">
        <v>33</v>
      </c>
      <c r="E216" s="12"/>
      <c r="F216" s="28" t="s">
        <v>202</v>
      </c>
      <c r="G216" s="28" t="s">
        <v>229</v>
      </c>
      <c r="H216" s="12" t="s">
        <v>204</v>
      </c>
      <c r="I216" s="12" t="s">
        <v>53</v>
      </c>
      <c r="J216" s="12" t="s">
        <v>54</v>
      </c>
      <c r="K216" s="12" t="s">
        <v>228</v>
      </c>
      <c r="L216" s="12" t="s">
        <v>198</v>
      </c>
      <c r="M216" s="12" t="s">
        <v>1186</v>
      </c>
      <c r="N216" s="12" t="s">
        <v>1187</v>
      </c>
      <c r="O216" s="12" t="s">
        <v>1188</v>
      </c>
      <c r="P216" s="12"/>
      <c r="Q216" s="12"/>
      <c r="R216" s="12" t="s">
        <v>3250</v>
      </c>
      <c r="S216" s="12"/>
      <c r="T216" s="12" t="s">
        <v>3392</v>
      </c>
    </row>
    <row r="217" spans="1:20" ht="28" x14ac:dyDescent="0.35">
      <c r="A217" s="12" t="s">
        <v>1189</v>
      </c>
      <c r="B217" s="12" t="s">
        <v>1190</v>
      </c>
      <c r="C217" s="12" t="s">
        <v>122</v>
      </c>
      <c r="D217" s="12" t="s">
        <v>33</v>
      </c>
      <c r="E217" s="12"/>
      <c r="F217" s="28" t="s">
        <v>202</v>
      </c>
      <c r="G217" s="28" t="s">
        <v>414</v>
      </c>
      <c r="H217" s="12" t="s">
        <v>204</v>
      </c>
      <c r="I217" s="12" t="s">
        <v>57</v>
      </c>
      <c r="J217" s="12" t="s">
        <v>58</v>
      </c>
      <c r="K217" s="12" t="s">
        <v>308</v>
      </c>
      <c r="L217" s="12" t="s">
        <v>259</v>
      </c>
      <c r="M217" s="12" t="s">
        <v>1191</v>
      </c>
      <c r="N217" s="12" t="s">
        <v>1192</v>
      </c>
      <c r="O217" s="12" t="s">
        <v>1188</v>
      </c>
      <c r="P217" s="12"/>
      <c r="Q217" s="12"/>
      <c r="R217" s="12" t="s">
        <v>3250</v>
      </c>
      <c r="S217" s="12" t="s">
        <v>3590</v>
      </c>
      <c r="T217" s="12" t="s">
        <v>3519</v>
      </c>
    </row>
    <row r="218" spans="1:20" ht="28" x14ac:dyDescent="0.35">
      <c r="A218" s="12" t="s">
        <v>1193</v>
      </c>
      <c r="B218" s="12" t="s">
        <v>1194</v>
      </c>
      <c r="C218" s="12" t="s">
        <v>122</v>
      </c>
      <c r="D218" s="12" t="s">
        <v>33</v>
      </c>
      <c r="E218" s="12"/>
      <c r="F218" s="28" t="s">
        <v>202</v>
      </c>
      <c r="G218" s="28" t="s">
        <v>371</v>
      </c>
      <c r="H218" s="12" t="s">
        <v>204</v>
      </c>
      <c r="I218" s="12" t="s">
        <v>55</v>
      </c>
      <c r="J218" s="12" t="s">
        <v>56</v>
      </c>
      <c r="K218" s="12" t="s">
        <v>308</v>
      </c>
      <c r="L218" s="12" t="s">
        <v>259</v>
      </c>
      <c r="M218" s="12" t="s">
        <v>1195</v>
      </c>
      <c r="N218" s="12" t="s">
        <v>1196</v>
      </c>
      <c r="O218" s="12" t="s">
        <v>1188</v>
      </c>
      <c r="P218" s="12"/>
      <c r="Q218" s="12"/>
      <c r="R218" s="12" t="s">
        <v>3250</v>
      </c>
      <c r="S218" s="12"/>
      <c r="T218" s="12" t="s">
        <v>3591</v>
      </c>
    </row>
    <row r="219" spans="1:20" ht="70" x14ac:dyDescent="0.35">
      <c r="A219" s="12" t="s">
        <v>1197</v>
      </c>
      <c r="B219" s="12" t="s">
        <v>1198</v>
      </c>
      <c r="C219" s="12" t="s">
        <v>122</v>
      </c>
      <c r="D219" s="12" t="s">
        <v>33</v>
      </c>
      <c r="E219" s="12"/>
      <c r="F219" s="28" t="s">
        <v>202</v>
      </c>
      <c r="G219" s="28" t="s">
        <v>1201</v>
      </c>
      <c r="H219" s="12" t="s">
        <v>204</v>
      </c>
      <c r="I219" s="12" t="s">
        <v>55</v>
      </c>
      <c r="J219" s="12" t="s">
        <v>56</v>
      </c>
      <c r="K219" s="12" t="s">
        <v>331</v>
      </c>
      <c r="L219" s="12" t="s">
        <v>239</v>
      </c>
      <c r="M219" s="12" t="s">
        <v>1199</v>
      </c>
      <c r="N219" s="12" t="s">
        <v>1200</v>
      </c>
      <c r="O219" s="12" t="s">
        <v>1188</v>
      </c>
      <c r="P219" s="12"/>
      <c r="Q219" s="12"/>
      <c r="R219" s="12" t="s">
        <v>3250</v>
      </c>
      <c r="S219" s="12"/>
      <c r="T219" s="12" t="s">
        <v>3479</v>
      </c>
    </row>
    <row r="220" spans="1:20" ht="28" x14ac:dyDescent="0.35">
      <c r="A220" s="12" t="s">
        <v>1202</v>
      </c>
      <c r="B220" s="12" t="s">
        <v>1203</v>
      </c>
      <c r="C220" s="12" t="s">
        <v>122</v>
      </c>
      <c r="D220" s="12" t="s">
        <v>33</v>
      </c>
      <c r="E220" s="12"/>
      <c r="F220" s="28" t="s">
        <v>202</v>
      </c>
      <c r="G220" s="28" t="s">
        <v>414</v>
      </c>
      <c r="H220" s="12" t="s">
        <v>204</v>
      </c>
      <c r="I220" s="12" t="s">
        <v>57</v>
      </c>
      <c r="J220" s="12" t="s">
        <v>58</v>
      </c>
      <c r="K220" s="12" t="s">
        <v>228</v>
      </c>
      <c r="L220" s="12" t="s">
        <v>198</v>
      </c>
      <c r="M220" s="12" t="s">
        <v>1204</v>
      </c>
      <c r="N220" s="12" t="s">
        <v>1205</v>
      </c>
      <c r="O220" s="12" t="s">
        <v>1188</v>
      </c>
      <c r="P220" s="12"/>
      <c r="Q220" s="12"/>
      <c r="R220" s="12" t="s">
        <v>3250</v>
      </c>
      <c r="S220" s="12" t="s">
        <v>3592</v>
      </c>
      <c r="T220" s="12" t="s">
        <v>3593</v>
      </c>
    </row>
    <row r="221" spans="1:20" x14ac:dyDescent="0.35">
      <c r="A221" s="12" t="s">
        <v>1206</v>
      </c>
      <c r="B221" s="12" t="s">
        <v>1207</v>
      </c>
      <c r="C221" s="12" t="s">
        <v>122</v>
      </c>
      <c r="D221" s="12" t="s">
        <v>38</v>
      </c>
      <c r="E221" s="12"/>
      <c r="F221" s="28" t="s">
        <v>209</v>
      </c>
      <c r="G221" s="28" t="s">
        <v>1211</v>
      </c>
      <c r="H221" s="12" t="s">
        <v>1212</v>
      </c>
      <c r="I221" s="12" t="s">
        <v>65</v>
      </c>
      <c r="J221" s="12" t="s">
        <v>66</v>
      </c>
      <c r="K221" s="12" t="s">
        <v>308</v>
      </c>
      <c r="L221" s="12" t="s">
        <v>259</v>
      </c>
      <c r="M221" s="12" t="s">
        <v>1208</v>
      </c>
      <c r="N221" s="12" t="s">
        <v>1209</v>
      </c>
      <c r="O221" s="12" t="s">
        <v>1210</v>
      </c>
      <c r="P221" s="12"/>
      <c r="Q221" s="12"/>
      <c r="R221" s="12"/>
      <c r="S221" s="12"/>
      <c r="T221" s="12" t="s">
        <v>3594</v>
      </c>
    </row>
    <row r="222" spans="1:20" ht="28" x14ac:dyDescent="0.35">
      <c r="A222" s="12" t="s">
        <v>1213</v>
      </c>
      <c r="B222" s="12" t="s">
        <v>1214</v>
      </c>
      <c r="C222" s="12" t="s">
        <v>122</v>
      </c>
      <c r="D222" s="12" t="s">
        <v>33</v>
      </c>
      <c r="E222" s="12"/>
      <c r="F222" s="28" t="s">
        <v>202</v>
      </c>
      <c r="G222" s="28" t="s">
        <v>1217</v>
      </c>
      <c r="H222" s="12" t="s">
        <v>204</v>
      </c>
      <c r="I222" s="12" t="s">
        <v>79</v>
      </c>
      <c r="J222" s="12" t="s">
        <v>80</v>
      </c>
      <c r="K222" s="12" t="s">
        <v>228</v>
      </c>
      <c r="L222" s="12" t="s">
        <v>198</v>
      </c>
      <c r="M222" s="12" t="s">
        <v>1215</v>
      </c>
      <c r="N222" s="12" t="s">
        <v>1216</v>
      </c>
      <c r="O222" s="12" t="s">
        <v>1210</v>
      </c>
      <c r="P222" s="12"/>
      <c r="Q222" s="12"/>
      <c r="R222" s="12" t="s">
        <v>3595</v>
      </c>
      <c r="S222" s="12"/>
      <c r="T222" s="12" t="s">
        <v>3596</v>
      </c>
    </row>
    <row r="223" spans="1:20" ht="42" x14ac:dyDescent="0.35">
      <c r="A223" s="12" t="s">
        <v>1218</v>
      </c>
      <c r="B223" s="12" t="s">
        <v>1219</v>
      </c>
      <c r="C223" s="12" t="s">
        <v>122</v>
      </c>
      <c r="D223" s="12" t="s">
        <v>33</v>
      </c>
      <c r="E223" s="12"/>
      <c r="F223" s="28" t="s">
        <v>202</v>
      </c>
      <c r="G223" s="28" t="s">
        <v>1223</v>
      </c>
      <c r="H223" s="12" t="s">
        <v>204</v>
      </c>
      <c r="I223" s="12" t="s">
        <v>89</v>
      </c>
      <c r="J223" s="12" t="s">
        <v>90</v>
      </c>
      <c r="K223" s="12" t="s">
        <v>331</v>
      </c>
      <c r="L223" s="12" t="s">
        <v>239</v>
      </c>
      <c r="M223" s="12" t="s">
        <v>1220</v>
      </c>
      <c r="N223" s="12" t="s">
        <v>1221</v>
      </c>
      <c r="O223" s="12" t="s">
        <v>1222</v>
      </c>
      <c r="P223" s="12"/>
      <c r="Q223" s="12"/>
      <c r="R223" s="12" t="s">
        <v>3305</v>
      </c>
      <c r="S223" s="12"/>
      <c r="T223" s="12" t="s">
        <v>3597</v>
      </c>
    </row>
    <row r="224" spans="1:20" x14ac:dyDescent="0.35">
      <c r="A224" s="12" t="s">
        <v>1224</v>
      </c>
      <c r="B224" s="12" t="s">
        <v>1225</v>
      </c>
      <c r="C224" s="12" t="s">
        <v>122</v>
      </c>
      <c r="D224" s="12" t="s">
        <v>33</v>
      </c>
      <c r="E224" s="12"/>
      <c r="F224" s="28" t="s">
        <v>209</v>
      </c>
      <c r="G224" s="28" t="s">
        <v>1228</v>
      </c>
      <c r="H224" s="12" t="s">
        <v>1229</v>
      </c>
      <c r="I224" s="12" t="s">
        <v>59</v>
      </c>
      <c r="J224" s="12" t="s">
        <v>60</v>
      </c>
      <c r="K224" s="12" t="s">
        <v>308</v>
      </c>
      <c r="L224" s="12" t="s">
        <v>259</v>
      </c>
      <c r="M224" s="12" t="s">
        <v>1226</v>
      </c>
      <c r="N224" s="12" t="s">
        <v>1227</v>
      </c>
      <c r="O224" s="12" t="s">
        <v>1222</v>
      </c>
      <c r="P224" s="12"/>
      <c r="Q224" s="12"/>
      <c r="R224" s="12"/>
      <c r="S224" s="12"/>
      <c r="T224" s="12" t="s">
        <v>3598</v>
      </c>
    </row>
    <row r="225" spans="1:20" ht="28" x14ac:dyDescent="0.35">
      <c r="A225" s="12" t="s">
        <v>1230</v>
      </c>
      <c r="B225" s="12" t="s">
        <v>1231</v>
      </c>
      <c r="C225" s="12" t="s">
        <v>122</v>
      </c>
      <c r="D225" s="12" t="s">
        <v>33</v>
      </c>
      <c r="E225" s="12"/>
      <c r="F225" s="28" t="s">
        <v>202</v>
      </c>
      <c r="G225" s="28" t="s">
        <v>371</v>
      </c>
      <c r="H225" s="12" t="s">
        <v>204</v>
      </c>
      <c r="I225" s="12" t="s">
        <v>55</v>
      </c>
      <c r="J225" s="12" t="s">
        <v>56</v>
      </c>
      <c r="K225" s="12" t="s">
        <v>228</v>
      </c>
      <c r="L225" s="12" t="s">
        <v>198</v>
      </c>
      <c r="M225" s="12" t="s">
        <v>1232</v>
      </c>
      <c r="N225" s="12" t="s">
        <v>1233</v>
      </c>
      <c r="O225" s="12" t="s">
        <v>1222</v>
      </c>
      <c r="P225" s="12"/>
      <c r="Q225" s="12"/>
      <c r="R225" s="12" t="s">
        <v>3250</v>
      </c>
      <c r="S225" s="12" t="s">
        <v>3599</v>
      </c>
      <c r="T225" s="12" t="s">
        <v>3600</v>
      </c>
    </row>
    <row r="226" spans="1:20" ht="28" x14ac:dyDescent="0.35">
      <c r="A226" s="12" t="s">
        <v>1234</v>
      </c>
      <c r="B226" s="12" t="s">
        <v>1235</v>
      </c>
      <c r="C226" s="12" t="s">
        <v>122</v>
      </c>
      <c r="D226" s="12" t="s">
        <v>33</v>
      </c>
      <c r="E226" s="12"/>
      <c r="F226" s="28" t="s">
        <v>202</v>
      </c>
      <c r="G226" s="28" t="s">
        <v>414</v>
      </c>
      <c r="H226" s="12" t="s">
        <v>204</v>
      </c>
      <c r="I226" s="12" t="s">
        <v>57</v>
      </c>
      <c r="J226" s="12" t="s">
        <v>58</v>
      </c>
      <c r="K226" s="12" t="s">
        <v>308</v>
      </c>
      <c r="L226" s="12" t="s">
        <v>259</v>
      </c>
      <c r="M226" s="12" t="s">
        <v>1236</v>
      </c>
      <c r="N226" s="12" t="s">
        <v>1237</v>
      </c>
      <c r="O226" s="12" t="s">
        <v>1222</v>
      </c>
      <c r="P226" s="12"/>
      <c r="Q226" s="12"/>
      <c r="R226" s="12" t="s">
        <v>3250</v>
      </c>
      <c r="S226" s="12"/>
      <c r="T226" s="12" t="s">
        <v>3601</v>
      </c>
    </row>
    <row r="227" spans="1:20" ht="28" x14ac:dyDescent="0.35">
      <c r="A227" s="12" t="s">
        <v>1238</v>
      </c>
      <c r="B227" s="12" t="s">
        <v>1239</v>
      </c>
      <c r="C227" s="12" t="s">
        <v>122</v>
      </c>
      <c r="D227" s="12" t="s">
        <v>33</v>
      </c>
      <c r="E227" s="12"/>
      <c r="F227" s="28" t="s">
        <v>209</v>
      </c>
      <c r="G227" s="28" t="s">
        <v>1242</v>
      </c>
      <c r="H227" s="12" t="s">
        <v>1243</v>
      </c>
      <c r="I227" s="12" t="s">
        <v>53</v>
      </c>
      <c r="J227" s="12" t="s">
        <v>54</v>
      </c>
      <c r="K227" s="12" t="s">
        <v>228</v>
      </c>
      <c r="L227" s="12" t="s">
        <v>198</v>
      </c>
      <c r="M227" s="12" t="s">
        <v>1240</v>
      </c>
      <c r="N227" s="12" t="s">
        <v>1241</v>
      </c>
      <c r="O227" s="12" t="s">
        <v>1222</v>
      </c>
      <c r="P227" s="12"/>
      <c r="Q227" s="12"/>
      <c r="R227" s="12"/>
      <c r="S227" s="12" t="s">
        <v>3602</v>
      </c>
      <c r="T227" s="12" t="s">
        <v>3531</v>
      </c>
    </row>
    <row r="228" spans="1:20" ht="56" x14ac:dyDescent="0.35">
      <c r="A228" s="12" t="s">
        <v>1244</v>
      </c>
      <c r="B228" s="12" t="s">
        <v>1245</v>
      </c>
      <c r="C228" s="12" t="s">
        <v>122</v>
      </c>
      <c r="D228" s="12" t="s">
        <v>33</v>
      </c>
      <c r="E228" s="12"/>
      <c r="F228" s="28" t="s">
        <v>202</v>
      </c>
      <c r="G228" s="28" t="s">
        <v>1248</v>
      </c>
      <c r="H228" s="12" t="s">
        <v>204</v>
      </c>
      <c r="I228" s="12" t="s">
        <v>69</v>
      </c>
      <c r="J228" s="12" t="s">
        <v>70</v>
      </c>
      <c r="K228" s="12" t="s">
        <v>331</v>
      </c>
      <c r="L228" s="12" t="s">
        <v>239</v>
      </c>
      <c r="M228" s="12" t="s">
        <v>1246</v>
      </c>
      <c r="N228" s="12" t="s">
        <v>1247</v>
      </c>
      <c r="O228" s="12" t="s">
        <v>1222</v>
      </c>
      <c r="P228" s="12"/>
      <c r="Q228" s="12"/>
      <c r="R228" s="12" t="s">
        <v>3250</v>
      </c>
      <c r="S228" s="12"/>
      <c r="T228" s="12" t="s">
        <v>3603</v>
      </c>
    </row>
    <row r="229" spans="1:20" x14ac:dyDescent="0.35">
      <c r="A229" s="12" t="s">
        <v>1249</v>
      </c>
      <c r="B229" s="12" t="s">
        <v>1250</v>
      </c>
      <c r="C229" s="12" t="s">
        <v>122</v>
      </c>
      <c r="D229" s="12" t="s">
        <v>33</v>
      </c>
      <c r="E229" s="12"/>
      <c r="F229" s="28" t="s">
        <v>209</v>
      </c>
      <c r="G229" s="28" t="s">
        <v>1253</v>
      </c>
      <c r="H229" s="12" t="s">
        <v>1254</v>
      </c>
      <c r="I229" s="12" t="s">
        <v>53</v>
      </c>
      <c r="J229" s="12" t="s">
        <v>54</v>
      </c>
      <c r="K229" s="12" t="s">
        <v>228</v>
      </c>
      <c r="L229" s="12" t="s">
        <v>198</v>
      </c>
      <c r="M229" s="12" t="s">
        <v>1251</v>
      </c>
      <c r="N229" s="12" t="s">
        <v>1252</v>
      </c>
      <c r="O229" s="12" t="s">
        <v>1222</v>
      </c>
      <c r="P229" s="12"/>
      <c r="Q229" s="12"/>
      <c r="R229" s="12"/>
      <c r="S229" s="12" t="s">
        <v>3604</v>
      </c>
      <c r="T229" s="12" t="s">
        <v>3605</v>
      </c>
    </row>
    <row r="230" spans="1:20" ht="42" x14ac:dyDescent="0.35">
      <c r="A230" s="12" t="s">
        <v>1255</v>
      </c>
      <c r="B230" s="12" t="s">
        <v>1256</v>
      </c>
      <c r="C230" s="12" t="s">
        <v>122</v>
      </c>
      <c r="D230" s="12" t="s">
        <v>33</v>
      </c>
      <c r="E230" s="12"/>
      <c r="F230" s="28" t="s">
        <v>202</v>
      </c>
      <c r="G230" s="28" t="s">
        <v>1259</v>
      </c>
      <c r="H230" s="12" t="s">
        <v>204</v>
      </c>
      <c r="I230" s="12" t="s">
        <v>53</v>
      </c>
      <c r="J230" s="12" t="s">
        <v>54</v>
      </c>
      <c r="K230" s="12" t="s">
        <v>228</v>
      </c>
      <c r="L230" s="12" t="s">
        <v>198</v>
      </c>
      <c r="M230" s="12" t="s">
        <v>1257</v>
      </c>
      <c r="N230" s="12" t="s">
        <v>1258</v>
      </c>
      <c r="O230" s="12" t="s">
        <v>1222</v>
      </c>
      <c r="P230" s="12"/>
      <c r="Q230" s="12"/>
      <c r="R230" s="12" t="s">
        <v>3606</v>
      </c>
      <c r="S230" s="12" t="s">
        <v>3607</v>
      </c>
      <c r="T230" s="12" t="s">
        <v>3608</v>
      </c>
    </row>
    <row r="231" spans="1:20" ht="28" x14ac:dyDescent="0.35">
      <c r="A231" s="12" t="s">
        <v>1260</v>
      </c>
      <c r="B231" s="12" t="s">
        <v>1261</v>
      </c>
      <c r="C231" s="12" t="s">
        <v>122</v>
      </c>
      <c r="D231" s="12" t="s">
        <v>33</v>
      </c>
      <c r="E231" s="12"/>
      <c r="F231" s="28" t="s">
        <v>202</v>
      </c>
      <c r="G231" s="28" t="s">
        <v>229</v>
      </c>
      <c r="H231" s="12" t="s">
        <v>204</v>
      </c>
      <c r="I231" s="12" t="s">
        <v>53</v>
      </c>
      <c r="J231" s="12" t="s">
        <v>54</v>
      </c>
      <c r="K231" s="12" t="s">
        <v>228</v>
      </c>
      <c r="L231" s="12" t="s">
        <v>198</v>
      </c>
      <c r="M231" s="12" t="s">
        <v>1262</v>
      </c>
      <c r="N231" s="12" t="s">
        <v>1263</v>
      </c>
      <c r="O231" s="12" t="s">
        <v>1222</v>
      </c>
      <c r="P231" s="12"/>
      <c r="Q231" s="12"/>
      <c r="R231" s="12" t="s">
        <v>3250</v>
      </c>
      <c r="S231" s="12" t="s">
        <v>3609</v>
      </c>
      <c r="T231" s="12" t="s">
        <v>3589</v>
      </c>
    </row>
    <row r="232" spans="1:20" x14ac:dyDescent="0.35">
      <c r="A232" s="12" t="s">
        <v>1264</v>
      </c>
      <c r="B232" s="12" t="s">
        <v>1265</v>
      </c>
      <c r="C232" s="12" t="s">
        <v>122</v>
      </c>
      <c r="D232" s="12" t="s">
        <v>34</v>
      </c>
      <c r="E232" s="12"/>
      <c r="F232" s="28" t="s">
        <v>216</v>
      </c>
      <c r="G232" s="28" t="s">
        <v>1268</v>
      </c>
      <c r="H232" s="12" t="s">
        <v>1269</v>
      </c>
      <c r="I232" s="12" t="s">
        <v>65</v>
      </c>
      <c r="J232" s="12" t="s">
        <v>66</v>
      </c>
      <c r="K232" s="12" t="s">
        <v>228</v>
      </c>
      <c r="L232" s="12" t="s">
        <v>198</v>
      </c>
      <c r="M232" s="12" t="s">
        <v>1266</v>
      </c>
      <c r="N232" s="12" t="s">
        <v>1267</v>
      </c>
      <c r="O232" s="12" t="s">
        <v>1222</v>
      </c>
      <c r="P232" s="12"/>
      <c r="Q232" s="12"/>
      <c r="R232" s="12"/>
      <c r="S232" s="12" t="s">
        <v>3610</v>
      </c>
      <c r="T232" s="12" t="s">
        <v>3611</v>
      </c>
    </row>
    <row r="233" spans="1:20" ht="56" x14ac:dyDescent="0.35">
      <c r="A233" s="12" t="s">
        <v>1270</v>
      </c>
      <c r="B233" s="12" t="s">
        <v>1271</v>
      </c>
      <c r="C233" s="12" t="s">
        <v>122</v>
      </c>
      <c r="D233" s="12" t="s">
        <v>33</v>
      </c>
      <c r="E233" s="12"/>
      <c r="F233" s="28" t="s">
        <v>202</v>
      </c>
      <c r="G233" s="28" t="s">
        <v>1274</v>
      </c>
      <c r="H233" s="12" t="s">
        <v>204</v>
      </c>
      <c r="I233" s="12" t="s">
        <v>53</v>
      </c>
      <c r="J233" s="12" t="s">
        <v>54</v>
      </c>
      <c r="K233" s="12" t="s">
        <v>331</v>
      </c>
      <c r="L233" s="12" t="s">
        <v>239</v>
      </c>
      <c r="M233" s="12" t="s">
        <v>1272</v>
      </c>
      <c r="N233" s="12" t="s">
        <v>1273</v>
      </c>
      <c r="O233" s="12" t="s">
        <v>1222</v>
      </c>
      <c r="P233" s="12"/>
      <c r="Q233" s="12"/>
      <c r="R233" s="12" t="s">
        <v>3250</v>
      </c>
      <c r="S233" s="12" t="s">
        <v>3612</v>
      </c>
      <c r="T233" s="12" t="s">
        <v>3613</v>
      </c>
    </row>
    <row r="234" spans="1:20" ht="42" x14ac:dyDescent="0.35">
      <c r="A234" s="12" t="s">
        <v>1275</v>
      </c>
      <c r="B234" s="12" t="s">
        <v>1276</v>
      </c>
      <c r="C234" s="12" t="s">
        <v>122</v>
      </c>
      <c r="D234" s="12" t="s">
        <v>33</v>
      </c>
      <c r="E234" s="12"/>
      <c r="F234" s="28" t="s">
        <v>202</v>
      </c>
      <c r="G234" s="28" t="s">
        <v>1278</v>
      </c>
      <c r="H234" s="12" t="s">
        <v>204</v>
      </c>
      <c r="I234" s="12" t="s">
        <v>73</v>
      </c>
      <c r="J234" s="12" t="s">
        <v>74</v>
      </c>
      <c r="K234" s="12" t="s">
        <v>331</v>
      </c>
      <c r="L234" s="12" t="s">
        <v>239</v>
      </c>
      <c r="M234" s="12" t="s">
        <v>1277</v>
      </c>
      <c r="N234" s="12" t="s">
        <v>1258</v>
      </c>
      <c r="O234" s="12" t="s">
        <v>1222</v>
      </c>
      <c r="P234" s="12"/>
      <c r="Q234" s="12"/>
      <c r="R234" s="12" t="s">
        <v>3250</v>
      </c>
      <c r="S234" s="12" t="s">
        <v>3614</v>
      </c>
      <c r="T234" s="12" t="s">
        <v>3615</v>
      </c>
    </row>
    <row r="235" spans="1:20" ht="30" customHeight="1" x14ac:dyDescent="0.35">
      <c r="A235" s="12" t="s">
        <v>1279</v>
      </c>
      <c r="B235" s="12" t="s">
        <v>1280</v>
      </c>
      <c r="C235" s="12" t="s">
        <v>122</v>
      </c>
      <c r="D235" s="12" t="s">
        <v>33</v>
      </c>
      <c r="E235" s="12"/>
      <c r="F235" s="28" t="s">
        <v>202</v>
      </c>
      <c r="G235" s="28" t="s">
        <v>375</v>
      </c>
      <c r="H235" s="12" t="s">
        <v>204</v>
      </c>
      <c r="I235" s="12" t="s">
        <v>69</v>
      </c>
      <c r="J235" s="12" t="s">
        <v>70</v>
      </c>
      <c r="K235" s="12" t="s">
        <v>308</v>
      </c>
      <c r="L235" s="12" t="s">
        <v>259</v>
      </c>
      <c r="M235" s="12" t="s">
        <v>1232</v>
      </c>
      <c r="N235" s="12" t="s">
        <v>1233</v>
      </c>
      <c r="O235" s="12" t="s">
        <v>1222</v>
      </c>
      <c r="P235" s="12" t="s">
        <v>3411</v>
      </c>
      <c r="Q235" s="21" t="s">
        <v>4150</v>
      </c>
      <c r="R235" s="18" t="s">
        <v>3616</v>
      </c>
      <c r="S235" s="12"/>
      <c r="T235" s="12" t="s">
        <v>3617</v>
      </c>
    </row>
    <row r="236" spans="1:20" x14ac:dyDescent="0.35">
      <c r="A236" s="12" t="s">
        <v>1281</v>
      </c>
      <c r="B236" s="12" t="s">
        <v>1282</v>
      </c>
      <c r="C236" s="12" t="s">
        <v>122</v>
      </c>
      <c r="D236" s="12" t="s">
        <v>33</v>
      </c>
      <c r="E236" s="12"/>
      <c r="F236" s="28" t="s">
        <v>209</v>
      </c>
      <c r="G236" s="28" t="s">
        <v>1286</v>
      </c>
      <c r="H236" s="12" t="s">
        <v>1287</v>
      </c>
      <c r="I236" s="12" t="s">
        <v>55</v>
      </c>
      <c r="J236" s="12" t="s">
        <v>56</v>
      </c>
      <c r="K236" s="12" t="s">
        <v>228</v>
      </c>
      <c r="L236" s="12" t="s">
        <v>198</v>
      </c>
      <c r="M236" s="12" t="s">
        <v>1283</v>
      </c>
      <c r="N236" s="12" t="s">
        <v>1284</v>
      </c>
      <c r="O236" s="12" t="s">
        <v>1285</v>
      </c>
      <c r="P236" s="12"/>
      <c r="Q236" s="12"/>
      <c r="R236" s="12"/>
      <c r="S236" s="12" t="s">
        <v>3618</v>
      </c>
      <c r="T236" s="12" t="s">
        <v>3619</v>
      </c>
    </row>
    <row r="237" spans="1:20" x14ac:dyDescent="0.35">
      <c r="A237" s="12" t="s">
        <v>1288</v>
      </c>
      <c r="B237" s="12" t="s">
        <v>1289</v>
      </c>
      <c r="C237" s="12" t="s">
        <v>122</v>
      </c>
      <c r="D237" s="12" t="s">
        <v>33</v>
      </c>
      <c r="E237" s="12"/>
      <c r="F237" s="28" t="s">
        <v>209</v>
      </c>
      <c r="G237" s="28" t="s">
        <v>1292</v>
      </c>
      <c r="H237" s="12" t="s">
        <v>1293</v>
      </c>
      <c r="I237" s="12" t="s">
        <v>53</v>
      </c>
      <c r="J237" s="12" t="s">
        <v>54</v>
      </c>
      <c r="K237" s="12" t="s">
        <v>228</v>
      </c>
      <c r="L237" s="12" t="s">
        <v>198</v>
      </c>
      <c r="M237" s="12" t="s">
        <v>1290</v>
      </c>
      <c r="N237" s="12" t="s">
        <v>1291</v>
      </c>
      <c r="O237" s="12" t="s">
        <v>1285</v>
      </c>
      <c r="P237" s="12"/>
      <c r="Q237" s="12"/>
      <c r="R237" s="12"/>
      <c r="S237" s="12" t="s">
        <v>3620</v>
      </c>
      <c r="T237" s="12" t="s">
        <v>3621</v>
      </c>
    </row>
    <row r="238" spans="1:20" ht="42" x14ac:dyDescent="0.35">
      <c r="A238" s="12" t="s">
        <v>1294</v>
      </c>
      <c r="B238" s="12" t="s">
        <v>1295</v>
      </c>
      <c r="C238" s="12" t="s">
        <v>122</v>
      </c>
      <c r="D238" s="12" t="s">
        <v>33</v>
      </c>
      <c r="E238" s="12"/>
      <c r="F238" s="28" t="s">
        <v>202</v>
      </c>
      <c r="G238" s="28" t="s">
        <v>1299</v>
      </c>
      <c r="H238" s="12" t="s">
        <v>204</v>
      </c>
      <c r="I238" s="12" t="s">
        <v>53</v>
      </c>
      <c r="J238" s="12" t="s">
        <v>54</v>
      </c>
      <c r="K238" s="12" t="s">
        <v>308</v>
      </c>
      <c r="L238" s="12" t="s">
        <v>259</v>
      </c>
      <c r="M238" s="12" t="s">
        <v>1296</v>
      </c>
      <c r="N238" s="12" t="s">
        <v>1297</v>
      </c>
      <c r="O238" s="12" t="s">
        <v>1298</v>
      </c>
      <c r="P238" s="12"/>
      <c r="Q238" s="12"/>
      <c r="R238" s="12" t="s">
        <v>3372</v>
      </c>
      <c r="S238" s="12"/>
      <c r="T238" s="12" t="s">
        <v>3622</v>
      </c>
    </row>
    <row r="239" spans="1:20" ht="42" x14ac:dyDescent="0.35">
      <c r="A239" s="12" t="s">
        <v>1300</v>
      </c>
      <c r="B239" s="12" t="s">
        <v>1301</v>
      </c>
      <c r="C239" s="12" t="s">
        <v>122</v>
      </c>
      <c r="D239" s="12" t="s">
        <v>33</v>
      </c>
      <c r="E239" s="12"/>
      <c r="F239" s="28" t="s">
        <v>202</v>
      </c>
      <c r="G239" s="28" t="s">
        <v>1304</v>
      </c>
      <c r="H239" s="12" t="s">
        <v>204</v>
      </c>
      <c r="I239" s="12" t="s">
        <v>59</v>
      </c>
      <c r="J239" s="12" t="s">
        <v>60</v>
      </c>
      <c r="K239" s="12" t="s">
        <v>308</v>
      </c>
      <c r="L239" s="12" t="s">
        <v>259</v>
      </c>
      <c r="M239" s="12" t="s">
        <v>1302</v>
      </c>
      <c r="N239" s="12" t="s">
        <v>1303</v>
      </c>
      <c r="O239" s="12" t="s">
        <v>1298</v>
      </c>
      <c r="P239" s="12"/>
      <c r="Q239" s="12"/>
      <c r="R239" s="12" t="s">
        <v>3250</v>
      </c>
      <c r="S239" s="12"/>
      <c r="T239" s="12" t="s">
        <v>3623</v>
      </c>
    </row>
    <row r="240" spans="1:20" ht="56" x14ac:dyDescent="0.35">
      <c r="A240" s="12" t="s">
        <v>1305</v>
      </c>
      <c r="B240" s="12" t="s">
        <v>1306</v>
      </c>
      <c r="C240" s="12" t="s">
        <v>122</v>
      </c>
      <c r="D240" s="12" t="s">
        <v>33</v>
      </c>
      <c r="E240" s="12"/>
      <c r="F240" s="28" t="s">
        <v>202</v>
      </c>
      <c r="G240" s="28" t="s">
        <v>1307</v>
      </c>
      <c r="H240" s="12" t="s">
        <v>204</v>
      </c>
      <c r="I240" s="12" t="s">
        <v>53</v>
      </c>
      <c r="J240" s="12" t="s">
        <v>54</v>
      </c>
      <c r="K240" s="12" t="s">
        <v>228</v>
      </c>
      <c r="L240" s="12" t="s">
        <v>198</v>
      </c>
      <c r="M240" s="12" t="s">
        <v>1296</v>
      </c>
      <c r="N240" s="12" t="s">
        <v>1303</v>
      </c>
      <c r="O240" s="12" t="s">
        <v>1298</v>
      </c>
      <c r="P240" s="12"/>
      <c r="Q240" s="12"/>
      <c r="R240" s="12" t="s">
        <v>3250</v>
      </c>
      <c r="S240" s="12"/>
      <c r="T240" s="12" t="s">
        <v>3624</v>
      </c>
    </row>
    <row r="241" spans="1:20" ht="28" x14ac:dyDescent="0.35">
      <c r="A241" s="12" t="s">
        <v>1308</v>
      </c>
      <c r="B241" s="12" t="s">
        <v>1309</v>
      </c>
      <c r="C241" s="12" t="s">
        <v>122</v>
      </c>
      <c r="D241" s="12" t="s">
        <v>33</v>
      </c>
      <c r="E241" s="12"/>
      <c r="F241" s="28" t="s">
        <v>202</v>
      </c>
      <c r="G241" s="28" t="s">
        <v>414</v>
      </c>
      <c r="H241" s="12" t="s">
        <v>204</v>
      </c>
      <c r="I241" s="12" t="s">
        <v>57</v>
      </c>
      <c r="J241" s="12" t="s">
        <v>58</v>
      </c>
      <c r="K241" s="12" t="s">
        <v>228</v>
      </c>
      <c r="L241" s="12" t="s">
        <v>198</v>
      </c>
      <c r="M241" s="12" t="s">
        <v>1310</v>
      </c>
      <c r="N241" s="12" t="s">
        <v>1311</v>
      </c>
      <c r="O241" s="12" t="s">
        <v>1298</v>
      </c>
      <c r="P241" s="12"/>
      <c r="Q241" s="12"/>
      <c r="R241" s="12" t="s">
        <v>3250</v>
      </c>
      <c r="S241" s="12"/>
      <c r="T241" s="12" t="s">
        <v>3625</v>
      </c>
    </row>
    <row r="242" spans="1:20" ht="70" x14ac:dyDescent="0.35">
      <c r="A242" s="12" t="s">
        <v>1312</v>
      </c>
      <c r="B242" s="12" t="s">
        <v>1313</v>
      </c>
      <c r="C242" s="12" t="s">
        <v>122</v>
      </c>
      <c r="D242" s="12" t="s">
        <v>33</v>
      </c>
      <c r="E242" s="12"/>
      <c r="F242" s="28" t="s">
        <v>202</v>
      </c>
      <c r="G242" s="28" t="s">
        <v>1316</v>
      </c>
      <c r="H242" s="12" t="s">
        <v>204</v>
      </c>
      <c r="I242" s="12" t="s">
        <v>53</v>
      </c>
      <c r="J242" s="12" t="s">
        <v>54</v>
      </c>
      <c r="K242" s="12" t="s">
        <v>228</v>
      </c>
      <c r="L242" s="12" t="s">
        <v>198</v>
      </c>
      <c r="M242" s="12" t="s">
        <v>1314</v>
      </c>
      <c r="N242" s="12" t="s">
        <v>1315</v>
      </c>
      <c r="O242" s="12" t="s">
        <v>1298</v>
      </c>
      <c r="P242" s="12"/>
      <c r="Q242" s="12"/>
      <c r="R242" s="12" t="s">
        <v>3250</v>
      </c>
      <c r="S242" s="12"/>
      <c r="T242" s="12" t="s">
        <v>3626</v>
      </c>
    </row>
    <row r="243" spans="1:20" x14ac:dyDescent="0.35">
      <c r="A243" s="12" t="s">
        <v>1317</v>
      </c>
      <c r="B243" s="12" t="s">
        <v>1318</v>
      </c>
      <c r="C243" s="12" t="s">
        <v>122</v>
      </c>
      <c r="D243" s="12" t="s">
        <v>33</v>
      </c>
      <c r="E243" s="12"/>
      <c r="F243" s="28" t="s">
        <v>209</v>
      </c>
      <c r="G243" s="28" t="s">
        <v>1322</v>
      </c>
      <c r="H243" s="12" t="s">
        <v>1323</v>
      </c>
      <c r="I243" s="12" t="s">
        <v>53</v>
      </c>
      <c r="J243" s="12" t="s">
        <v>54</v>
      </c>
      <c r="K243" s="12" t="s">
        <v>331</v>
      </c>
      <c r="L243" s="12" t="s">
        <v>239</v>
      </c>
      <c r="M243" s="12" t="s">
        <v>1319</v>
      </c>
      <c r="N243" s="12" t="s">
        <v>1320</v>
      </c>
      <c r="O243" s="12" t="s">
        <v>1321</v>
      </c>
      <c r="P243" s="12"/>
      <c r="Q243" s="12"/>
      <c r="R243" s="12"/>
      <c r="S243" s="12"/>
      <c r="T243" s="12" t="s">
        <v>3441</v>
      </c>
    </row>
    <row r="244" spans="1:20" ht="28" x14ac:dyDescent="0.35">
      <c r="A244" s="12" t="s">
        <v>1324</v>
      </c>
      <c r="B244" s="12" t="s">
        <v>1325</v>
      </c>
      <c r="C244" s="12" t="s">
        <v>122</v>
      </c>
      <c r="D244" s="12" t="s">
        <v>33</v>
      </c>
      <c r="E244" s="12"/>
      <c r="F244" s="28" t="s">
        <v>202</v>
      </c>
      <c r="G244" s="28" t="s">
        <v>229</v>
      </c>
      <c r="H244" s="12" t="s">
        <v>204</v>
      </c>
      <c r="I244" s="12" t="s">
        <v>53</v>
      </c>
      <c r="J244" s="12" t="s">
        <v>54</v>
      </c>
      <c r="K244" s="12" t="s">
        <v>228</v>
      </c>
      <c r="L244" s="12" t="s">
        <v>198</v>
      </c>
      <c r="M244" s="12" t="s">
        <v>1326</v>
      </c>
      <c r="N244" s="12" t="s">
        <v>1327</v>
      </c>
      <c r="O244" s="12" t="s">
        <v>1328</v>
      </c>
      <c r="P244" s="12"/>
      <c r="Q244" s="12"/>
      <c r="R244" s="12" t="s">
        <v>3250</v>
      </c>
      <c r="S244" s="12"/>
      <c r="T244" s="12" t="s">
        <v>3627</v>
      </c>
    </row>
    <row r="245" spans="1:20" ht="28" x14ac:dyDescent="0.35">
      <c r="A245" s="12" t="s">
        <v>1329</v>
      </c>
      <c r="B245" s="12" t="s">
        <v>1330</v>
      </c>
      <c r="C245" s="12" t="s">
        <v>122</v>
      </c>
      <c r="D245" s="12" t="s">
        <v>33</v>
      </c>
      <c r="E245" s="12"/>
      <c r="F245" s="28" t="s">
        <v>202</v>
      </c>
      <c r="G245" s="28" t="s">
        <v>473</v>
      </c>
      <c r="H245" s="12" t="s">
        <v>204</v>
      </c>
      <c r="I245" s="12" t="s">
        <v>67</v>
      </c>
      <c r="J245" s="12" t="s">
        <v>68</v>
      </c>
      <c r="K245" s="12" t="s">
        <v>308</v>
      </c>
      <c r="L245" s="12" t="s">
        <v>259</v>
      </c>
      <c r="M245" s="12" t="s">
        <v>1331</v>
      </c>
      <c r="N245" s="12" t="s">
        <v>1332</v>
      </c>
      <c r="O245" s="12" t="s">
        <v>1328</v>
      </c>
      <c r="P245" s="12"/>
      <c r="Q245" s="12"/>
      <c r="R245" s="12" t="s">
        <v>3250</v>
      </c>
      <c r="S245" s="12" t="s">
        <v>3628</v>
      </c>
      <c r="T245" s="12" t="s">
        <v>3629</v>
      </c>
    </row>
    <row r="246" spans="1:20" ht="28" x14ac:dyDescent="0.35">
      <c r="A246" s="12" t="s">
        <v>1333</v>
      </c>
      <c r="B246" s="12" t="s">
        <v>1334</v>
      </c>
      <c r="C246" s="12" t="s">
        <v>122</v>
      </c>
      <c r="D246" s="12" t="s">
        <v>33</v>
      </c>
      <c r="E246" s="12"/>
      <c r="F246" s="28" t="s">
        <v>202</v>
      </c>
      <c r="G246" s="28" t="s">
        <v>229</v>
      </c>
      <c r="H246" s="12" t="s">
        <v>204</v>
      </c>
      <c r="I246" s="12" t="s">
        <v>53</v>
      </c>
      <c r="J246" s="12" t="s">
        <v>54</v>
      </c>
      <c r="K246" s="12" t="s">
        <v>228</v>
      </c>
      <c r="L246" s="12" t="s">
        <v>198</v>
      </c>
      <c r="M246" s="12" t="s">
        <v>1335</v>
      </c>
      <c r="N246" s="12" t="s">
        <v>1336</v>
      </c>
      <c r="O246" s="12" t="s">
        <v>1328</v>
      </c>
      <c r="P246" s="12"/>
      <c r="Q246" s="12"/>
      <c r="R246" s="12" t="s">
        <v>3250</v>
      </c>
      <c r="S246" s="12"/>
      <c r="T246" s="12" t="s">
        <v>3630</v>
      </c>
    </row>
    <row r="247" spans="1:20" ht="28" x14ac:dyDescent="0.35">
      <c r="A247" s="12" t="s">
        <v>1337</v>
      </c>
      <c r="B247" s="12" t="s">
        <v>1338</v>
      </c>
      <c r="C247" s="12" t="s">
        <v>122</v>
      </c>
      <c r="D247" s="12" t="s">
        <v>33</v>
      </c>
      <c r="E247" s="12"/>
      <c r="F247" s="28" t="s">
        <v>202</v>
      </c>
      <c r="G247" s="28" t="s">
        <v>229</v>
      </c>
      <c r="H247" s="12" t="s">
        <v>204</v>
      </c>
      <c r="I247" s="12" t="s">
        <v>53</v>
      </c>
      <c r="J247" s="12" t="s">
        <v>54</v>
      </c>
      <c r="K247" s="12" t="s">
        <v>228</v>
      </c>
      <c r="L247" s="12" t="s">
        <v>198</v>
      </c>
      <c r="M247" s="12" t="s">
        <v>1339</v>
      </c>
      <c r="N247" s="12" t="s">
        <v>1340</v>
      </c>
      <c r="O247" s="12" t="s">
        <v>1328</v>
      </c>
      <c r="P247" s="12"/>
      <c r="Q247" s="12"/>
      <c r="R247" s="12" t="s">
        <v>3250</v>
      </c>
      <c r="S247" s="12" t="s">
        <v>3631</v>
      </c>
      <c r="T247" s="12" t="s">
        <v>3632</v>
      </c>
    </row>
    <row r="248" spans="1:20" ht="28" x14ac:dyDescent="0.35">
      <c r="A248" s="12" t="s">
        <v>1341</v>
      </c>
      <c r="B248" s="12" t="s">
        <v>1342</v>
      </c>
      <c r="C248" s="12" t="s">
        <v>122</v>
      </c>
      <c r="D248" s="12" t="s">
        <v>33</v>
      </c>
      <c r="E248" s="12"/>
      <c r="F248" s="28" t="s">
        <v>209</v>
      </c>
      <c r="G248" s="28" t="s">
        <v>1345</v>
      </c>
      <c r="H248" s="12" t="s">
        <v>1346</v>
      </c>
      <c r="I248" s="12" t="s">
        <v>59</v>
      </c>
      <c r="J248" s="12" t="s">
        <v>60</v>
      </c>
      <c r="K248" s="12" t="s">
        <v>308</v>
      </c>
      <c r="L248" s="12" t="s">
        <v>259</v>
      </c>
      <c r="M248" s="12" t="s">
        <v>1343</v>
      </c>
      <c r="N248" s="12" t="s">
        <v>1344</v>
      </c>
      <c r="O248" s="12" t="s">
        <v>1328</v>
      </c>
      <c r="P248" s="12"/>
      <c r="Q248" s="12"/>
      <c r="R248" s="12"/>
      <c r="S248" s="12"/>
      <c r="T248" s="12" t="s">
        <v>3633</v>
      </c>
    </row>
    <row r="249" spans="1:20" ht="42" x14ac:dyDescent="0.35">
      <c r="A249" s="12" t="s">
        <v>1347</v>
      </c>
      <c r="B249" s="12" t="s">
        <v>1348</v>
      </c>
      <c r="C249" s="12" t="s">
        <v>122</v>
      </c>
      <c r="D249" s="12" t="s">
        <v>33</v>
      </c>
      <c r="E249" s="12"/>
      <c r="F249" s="28" t="s">
        <v>202</v>
      </c>
      <c r="G249" s="28" t="s">
        <v>1352</v>
      </c>
      <c r="H249" s="12" t="s">
        <v>204</v>
      </c>
      <c r="I249" s="12" t="s">
        <v>61</v>
      </c>
      <c r="J249" s="12" t="s">
        <v>62</v>
      </c>
      <c r="K249" s="12" t="s">
        <v>308</v>
      </c>
      <c r="L249" s="12" t="s">
        <v>259</v>
      </c>
      <c r="M249" s="12" t="s">
        <v>1349</v>
      </c>
      <c r="N249" s="12" t="s">
        <v>1350</v>
      </c>
      <c r="O249" s="12" t="s">
        <v>1351</v>
      </c>
      <c r="P249" s="12"/>
      <c r="Q249" s="12"/>
      <c r="R249" s="12" t="s">
        <v>3250</v>
      </c>
      <c r="S249" s="12" t="s">
        <v>3634</v>
      </c>
      <c r="T249" s="12" t="s">
        <v>3635</v>
      </c>
    </row>
    <row r="250" spans="1:20" ht="28" x14ac:dyDescent="0.35">
      <c r="A250" s="12" t="s">
        <v>1353</v>
      </c>
      <c r="B250" s="12" t="s">
        <v>1354</v>
      </c>
      <c r="C250" s="12" t="s">
        <v>122</v>
      </c>
      <c r="D250" s="12" t="s">
        <v>33</v>
      </c>
      <c r="E250" s="12"/>
      <c r="F250" s="28" t="s">
        <v>202</v>
      </c>
      <c r="G250" s="28" t="s">
        <v>371</v>
      </c>
      <c r="H250" s="12" t="s">
        <v>204</v>
      </c>
      <c r="I250" s="12" t="s">
        <v>55</v>
      </c>
      <c r="J250" s="12" t="s">
        <v>56</v>
      </c>
      <c r="K250" s="12" t="s">
        <v>308</v>
      </c>
      <c r="L250" s="12" t="s">
        <v>259</v>
      </c>
      <c r="M250" s="12" t="s">
        <v>1355</v>
      </c>
      <c r="N250" s="12" t="s">
        <v>1356</v>
      </c>
      <c r="O250" s="12" t="s">
        <v>1351</v>
      </c>
      <c r="P250" s="12"/>
      <c r="Q250" s="12"/>
      <c r="R250" s="12" t="s">
        <v>3250</v>
      </c>
      <c r="S250" s="12"/>
      <c r="T250" s="12" t="s">
        <v>3636</v>
      </c>
    </row>
    <row r="251" spans="1:20" ht="28" x14ac:dyDescent="0.35">
      <c r="A251" s="12" t="s">
        <v>1357</v>
      </c>
      <c r="B251" s="12" t="s">
        <v>1358</v>
      </c>
      <c r="C251" s="12" t="s">
        <v>122</v>
      </c>
      <c r="D251" s="12" t="s">
        <v>33</v>
      </c>
      <c r="E251" s="12"/>
      <c r="F251" s="28" t="s">
        <v>202</v>
      </c>
      <c r="G251" s="28" t="s">
        <v>414</v>
      </c>
      <c r="H251" s="12" t="s">
        <v>204</v>
      </c>
      <c r="I251" s="12" t="s">
        <v>57</v>
      </c>
      <c r="J251" s="12" t="s">
        <v>58</v>
      </c>
      <c r="K251" s="12" t="s">
        <v>228</v>
      </c>
      <c r="L251" s="12" t="s">
        <v>198</v>
      </c>
      <c r="M251" s="12" t="s">
        <v>1359</v>
      </c>
      <c r="N251" s="12" t="s">
        <v>1360</v>
      </c>
      <c r="O251" s="12" t="s">
        <v>1351</v>
      </c>
      <c r="P251" s="12"/>
      <c r="Q251" s="12"/>
      <c r="R251" s="12" t="s">
        <v>3250</v>
      </c>
      <c r="S251" s="12" t="s">
        <v>3637</v>
      </c>
      <c r="T251" s="12" t="s">
        <v>3638</v>
      </c>
    </row>
    <row r="252" spans="1:20" ht="28" x14ac:dyDescent="0.35">
      <c r="A252" s="12" t="s">
        <v>1361</v>
      </c>
      <c r="B252" s="12" t="s">
        <v>1362</v>
      </c>
      <c r="C252" s="12" t="s">
        <v>122</v>
      </c>
      <c r="D252" s="12" t="s">
        <v>33</v>
      </c>
      <c r="E252" s="12"/>
      <c r="F252" s="28" t="s">
        <v>202</v>
      </c>
      <c r="G252" s="28" t="s">
        <v>229</v>
      </c>
      <c r="H252" s="12" t="s">
        <v>204</v>
      </c>
      <c r="I252" s="12" t="s">
        <v>53</v>
      </c>
      <c r="J252" s="12" t="s">
        <v>54</v>
      </c>
      <c r="K252" s="12" t="s">
        <v>228</v>
      </c>
      <c r="L252" s="12" t="s">
        <v>198</v>
      </c>
      <c r="M252" s="12" t="s">
        <v>1359</v>
      </c>
      <c r="N252" s="12" t="s">
        <v>1360</v>
      </c>
      <c r="O252" s="12" t="s">
        <v>1351</v>
      </c>
      <c r="P252" s="12"/>
      <c r="Q252" s="12"/>
      <c r="R252" s="12" t="s">
        <v>3250</v>
      </c>
      <c r="S252" s="12"/>
      <c r="T252" s="12" t="s">
        <v>3639</v>
      </c>
    </row>
    <row r="253" spans="1:20" ht="28" x14ac:dyDescent="0.35">
      <c r="A253" s="12" t="s">
        <v>1363</v>
      </c>
      <c r="B253" s="12" t="s">
        <v>1364</v>
      </c>
      <c r="C253" s="12" t="s">
        <v>122</v>
      </c>
      <c r="D253" s="12" t="s">
        <v>33</v>
      </c>
      <c r="E253" s="12"/>
      <c r="F253" s="28" t="s">
        <v>202</v>
      </c>
      <c r="G253" s="28" t="s">
        <v>229</v>
      </c>
      <c r="H253" s="12" t="s">
        <v>204</v>
      </c>
      <c r="I253" s="12" t="s">
        <v>53</v>
      </c>
      <c r="J253" s="12" t="s">
        <v>54</v>
      </c>
      <c r="K253" s="12" t="s">
        <v>308</v>
      </c>
      <c r="L253" s="12" t="s">
        <v>259</v>
      </c>
      <c r="M253" s="12" t="s">
        <v>1365</v>
      </c>
      <c r="N253" s="12" t="s">
        <v>1366</v>
      </c>
      <c r="O253" s="12" t="s">
        <v>1351</v>
      </c>
      <c r="P253" s="12"/>
      <c r="Q253" s="12"/>
      <c r="R253" s="12" t="s">
        <v>3250</v>
      </c>
      <c r="S253" s="12" t="s">
        <v>3640</v>
      </c>
      <c r="T253" s="12" t="s">
        <v>3641</v>
      </c>
    </row>
    <row r="254" spans="1:20" ht="70" x14ac:dyDescent="0.35">
      <c r="A254" s="12" t="s">
        <v>1367</v>
      </c>
      <c r="B254" s="12" t="s">
        <v>1368</v>
      </c>
      <c r="C254" s="12" t="s">
        <v>122</v>
      </c>
      <c r="D254" s="12" t="s">
        <v>33</v>
      </c>
      <c r="E254" s="12"/>
      <c r="F254" s="28" t="s">
        <v>202</v>
      </c>
      <c r="G254" s="28" t="s">
        <v>1371</v>
      </c>
      <c r="H254" s="12" t="s">
        <v>204</v>
      </c>
      <c r="I254" s="12" t="s">
        <v>53</v>
      </c>
      <c r="J254" s="12" t="s">
        <v>54</v>
      </c>
      <c r="K254" s="12" t="s">
        <v>228</v>
      </c>
      <c r="L254" s="12" t="s">
        <v>198</v>
      </c>
      <c r="M254" s="12" t="s">
        <v>1369</v>
      </c>
      <c r="N254" s="12" t="s">
        <v>1370</v>
      </c>
      <c r="O254" s="12" t="s">
        <v>1351</v>
      </c>
      <c r="P254" s="12"/>
      <c r="Q254" s="12"/>
      <c r="R254" s="12" t="s">
        <v>3372</v>
      </c>
      <c r="S254" s="12" t="s">
        <v>3642</v>
      </c>
      <c r="T254" s="12" t="s">
        <v>3495</v>
      </c>
    </row>
    <row r="255" spans="1:20" x14ac:dyDescent="0.35">
      <c r="A255" s="12" t="s">
        <v>1372</v>
      </c>
      <c r="B255" s="12" t="s">
        <v>1373</v>
      </c>
      <c r="C255" s="12" t="s">
        <v>122</v>
      </c>
      <c r="D255" s="12" t="s">
        <v>33</v>
      </c>
      <c r="E255" s="12"/>
      <c r="F255" s="28" t="s">
        <v>209</v>
      </c>
      <c r="G255" s="28" t="s">
        <v>1376</v>
      </c>
      <c r="H255" s="12" t="s">
        <v>1377</v>
      </c>
      <c r="I255" s="12" t="s">
        <v>69</v>
      </c>
      <c r="J255" s="12" t="s">
        <v>70</v>
      </c>
      <c r="K255" s="12" t="s">
        <v>308</v>
      </c>
      <c r="L255" s="12" t="s">
        <v>259</v>
      </c>
      <c r="M255" s="12" t="s">
        <v>1374</v>
      </c>
      <c r="N255" s="12" t="s">
        <v>1375</v>
      </c>
      <c r="O255" s="12" t="s">
        <v>1351</v>
      </c>
      <c r="P255" s="12"/>
      <c r="Q255" s="12"/>
      <c r="R255" s="12"/>
      <c r="S255" s="12" t="s">
        <v>3643</v>
      </c>
      <c r="T255" s="12" t="s">
        <v>3644</v>
      </c>
    </row>
    <row r="256" spans="1:20" ht="28" x14ac:dyDescent="0.35">
      <c r="A256" s="12" t="s">
        <v>1378</v>
      </c>
      <c r="B256" s="12" t="s">
        <v>1379</v>
      </c>
      <c r="C256" s="12" t="s">
        <v>122</v>
      </c>
      <c r="D256" s="12" t="s">
        <v>33</v>
      </c>
      <c r="E256" s="12"/>
      <c r="F256" s="28" t="s">
        <v>202</v>
      </c>
      <c r="G256" s="28" t="s">
        <v>229</v>
      </c>
      <c r="H256" s="12" t="s">
        <v>204</v>
      </c>
      <c r="I256" s="12" t="s">
        <v>53</v>
      </c>
      <c r="J256" s="12" t="s">
        <v>54</v>
      </c>
      <c r="K256" s="12" t="s">
        <v>228</v>
      </c>
      <c r="L256" s="12" t="s">
        <v>198</v>
      </c>
      <c r="M256" s="12" t="s">
        <v>1380</v>
      </c>
      <c r="N256" s="12" t="s">
        <v>1381</v>
      </c>
      <c r="O256" s="12" t="s">
        <v>1351</v>
      </c>
      <c r="P256" s="12"/>
      <c r="Q256" s="12"/>
      <c r="R256" s="12" t="s">
        <v>3250</v>
      </c>
      <c r="S256" s="12"/>
      <c r="T256" s="12" t="s">
        <v>3645</v>
      </c>
    </row>
    <row r="257" spans="1:20" ht="56" x14ac:dyDescent="0.35">
      <c r="A257" s="12" t="s">
        <v>1382</v>
      </c>
      <c r="B257" s="12" t="s">
        <v>1383</v>
      </c>
      <c r="C257" s="12" t="s">
        <v>122</v>
      </c>
      <c r="D257" s="12" t="s">
        <v>33</v>
      </c>
      <c r="E257" s="12"/>
      <c r="F257" s="28" t="s">
        <v>202</v>
      </c>
      <c r="G257" s="28" t="s">
        <v>1384</v>
      </c>
      <c r="H257" s="12" t="s">
        <v>204</v>
      </c>
      <c r="I257" s="12" t="s">
        <v>57</v>
      </c>
      <c r="J257" s="12" t="s">
        <v>58</v>
      </c>
      <c r="K257" s="12" t="s">
        <v>430</v>
      </c>
      <c r="L257" s="12" t="s">
        <v>386</v>
      </c>
      <c r="M257" s="12" t="s">
        <v>1380</v>
      </c>
      <c r="N257" s="12" t="s">
        <v>1381</v>
      </c>
      <c r="O257" s="12" t="s">
        <v>1351</v>
      </c>
      <c r="P257" s="12"/>
      <c r="Q257" s="12"/>
      <c r="R257" s="12" t="s">
        <v>3250</v>
      </c>
      <c r="S257" s="12"/>
      <c r="T257" s="12" t="s">
        <v>3646</v>
      </c>
    </row>
    <row r="258" spans="1:20" ht="28" x14ac:dyDescent="0.35">
      <c r="A258" s="12" t="s">
        <v>1385</v>
      </c>
      <c r="B258" s="12" t="s">
        <v>1386</v>
      </c>
      <c r="C258" s="12" t="s">
        <v>122</v>
      </c>
      <c r="D258" s="12" t="s">
        <v>33</v>
      </c>
      <c r="E258" s="12"/>
      <c r="F258" s="28" t="s">
        <v>202</v>
      </c>
      <c r="G258" s="28" t="s">
        <v>229</v>
      </c>
      <c r="H258" s="12" t="s">
        <v>204</v>
      </c>
      <c r="I258" s="12" t="s">
        <v>53</v>
      </c>
      <c r="J258" s="12" t="s">
        <v>54</v>
      </c>
      <c r="K258" s="12" t="s">
        <v>331</v>
      </c>
      <c r="L258" s="12" t="s">
        <v>239</v>
      </c>
      <c r="M258" s="12" t="s">
        <v>1387</v>
      </c>
      <c r="N258" s="12" t="s">
        <v>1388</v>
      </c>
      <c r="O258" s="12" t="s">
        <v>1351</v>
      </c>
      <c r="P258" s="12"/>
      <c r="Q258" s="12"/>
      <c r="R258" s="12" t="s">
        <v>3250</v>
      </c>
      <c r="S258" s="12" t="s">
        <v>3647</v>
      </c>
      <c r="T258" s="12" t="s">
        <v>3648</v>
      </c>
    </row>
    <row r="259" spans="1:20" ht="28" x14ac:dyDescent="0.35">
      <c r="A259" s="12" t="s">
        <v>1389</v>
      </c>
      <c r="B259" s="12" t="s">
        <v>1390</v>
      </c>
      <c r="C259" s="12" t="s">
        <v>122</v>
      </c>
      <c r="D259" s="12" t="s">
        <v>33</v>
      </c>
      <c r="E259" s="12"/>
      <c r="F259" s="28" t="s">
        <v>202</v>
      </c>
      <c r="G259" s="28" t="s">
        <v>371</v>
      </c>
      <c r="H259" s="12" t="s">
        <v>204</v>
      </c>
      <c r="I259" s="12" t="s">
        <v>55</v>
      </c>
      <c r="J259" s="12" t="s">
        <v>56</v>
      </c>
      <c r="K259" s="12" t="s">
        <v>308</v>
      </c>
      <c r="L259" s="12" t="s">
        <v>259</v>
      </c>
      <c r="M259" s="12" t="s">
        <v>1391</v>
      </c>
      <c r="N259" s="12" t="s">
        <v>1392</v>
      </c>
      <c r="O259" s="12" t="s">
        <v>1351</v>
      </c>
      <c r="P259" s="12"/>
      <c r="Q259" s="12"/>
      <c r="R259" s="12" t="s">
        <v>3250</v>
      </c>
      <c r="S259" s="12" t="s">
        <v>3649</v>
      </c>
      <c r="T259" s="12" t="s">
        <v>3650</v>
      </c>
    </row>
    <row r="260" spans="1:20" ht="28" x14ac:dyDescent="0.35">
      <c r="A260" s="12" t="s">
        <v>1393</v>
      </c>
      <c r="B260" s="12" t="s">
        <v>1394</v>
      </c>
      <c r="C260" s="12" t="s">
        <v>122</v>
      </c>
      <c r="D260" s="12" t="s">
        <v>33</v>
      </c>
      <c r="E260" s="12"/>
      <c r="F260" s="28" t="s">
        <v>202</v>
      </c>
      <c r="G260" s="28" t="s">
        <v>1395</v>
      </c>
      <c r="H260" s="12" t="s">
        <v>204</v>
      </c>
      <c r="I260" s="12" t="s">
        <v>91</v>
      </c>
      <c r="J260" s="12" t="s">
        <v>92</v>
      </c>
      <c r="K260" s="12" t="s">
        <v>331</v>
      </c>
      <c r="L260" s="12" t="s">
        <v>239</v>
      </c>
      <c r="M260" s="12" t="s">
        <v>1391</v>
      </c>
      <c r="N260" s="12" t="s">
        <v>1392</v>
      </c>
      <c r="O260" s="12" t="s">
        <v>1351</v>
      </c>
      <c r="P260" s="12"/>
      <c r="Q260" s="12"/>
      <c r="R260" s="12" t="s">
        <v>3250</v>
      </c>
      <c r="S260" s="12"/>
      <c r="T260" s="12" t="s">
        <v>3651</v>
      </c>
    </row>
    <row r="261" spans="1:20" ht="70" x14ac:dyDescent="0.35">
      <c r="A261" s="12" t="s">
        <v>1396</v>
      </c>
      <c r="B261" s="12" t="s">
        <v>1397</v>
      </c>
      <c r="C261" s="12" t="s">
        <v>122</v>
      </c>
      <c r="D261" s="12" t="s">
        <v>33</v>
      </c>
      <c r="E261" s="12"/>
      <c r="F261" s="28" t="s">
        <v>202</v>
      </c>
      <c r="G261" s="28" t="s">
        <v>1400</v>
      </c>
      <c r="H261" s="12" t="s">
        <v>204</v>
      </c>
      <c r="I261" s="12" t="s">
        <v>55</v>
      </c>
      <c r="J261" s="12" t="s">
        <v>56</v>
      </c>
      <c r="K261" s="12" t="s">
        <v>228</v>
      </c>
      <c r="L261" s="12" t="s">
        <v>198</v>
      </c>
      <c r="M261" s="12" t="s">
        <v>1398</v>
      </c>
      <c r="N261" s="12" t="s">
        <v>1399</v>
      </c>
      <c r="O261" s="12" t="s">
        <v>1351</v>
      </c>
      <c r="P261" s="12"/>
      <c r="Q261" s="12"/>
      <c r="R261" s="12" t="s">
        <v>3580</v>
      </c>
      <c r="S261" s="12"/>
      <c r="T261" s="12" t="s">
        <v>3652</v>
      </c>
    </row>
    <row r="262" spans="1:20" ht="56" x14ac:dyDescent="0.35">
      <c r="A262" s="12" t="s">
        <v>1401</v>
      </c>
      <c r="B262" s="12" t="s">
        <v>1402</v>
      </c>
      <c r="C262" s="12" t="s">
        <v>122</v>
      </c>
      <c r="D262" s="12" t="s">
        <v>33</v>
      </c>
      <c r="E262" s="12"/>
      <c r="F262" s="28" t="s">
        <v>202</v>
      </c>
      <c r="G262" s="28" t="s">
        <v>1405</v>
      </c>
      <c r="H262" s="12" t="s">
        <v>204</v>
      </c>
      <c r="I262" s="12" t="s">
        <v>53</v>
      </c>
      <c r="J262" s="12" t="s">
        <v>54</v>
      </c>
      <c r="K262" s="12" t="s">
        <v>228</v>
      </c>
      <c r="L262" s="12" t="s">
        <v>198</v>
      </c>
      <c r="M262" s="12" t="s">
        <v>1403</v>
      </c>
      <c r="N262" s="12" t="s">
        <v>1404</v>
      </c>
      <c r="O262" s="12" t="s">
        <v>1351</v>
      </c>
      <c r="P262" s="12"/>
      <c r="Q262" s="12"/>
      <c r="R262" s="12" t="s">
        <v>3250</v>
      </c>
      <c r="S262" s="12"/>
      <c r="T262" s="12" t="s">
        <v>3653</v>
      </c>
    </row>
    <row r="263" spans="1:20" ht="28" x14ac:dyDescent="0.35">
      <c r="A263" s="12" t="s">
        <v>1406</v>
      </c>
      <c r="B263" s="12" t="s">
        <v>1407</v>
      </c>
      <c r="C263" s="12" t="s">
        <v>122</v>
      </c>
      <c r="D263" s="12" t="s">
        <v>33</v>
      </c>
      <c r="E263" s="12"/>
      <c r="F263" s="28" t="s">
        <v>202</v>
      </c>
      <c r="G263" s="28" t="s">
        <v>414</v>
      </c>
      <c r="H263" s="12" t="s">
        <v>204</v>
      </c>
      <c r="I263" s="12" t="s">
        <v>57</v>
      </c>
      <c r="J263" s="12" t="s">
        <v>58</v>
      </c>
      <c r="K263" s="12" t="s">
        <v>331</v>
      </c>
      <c r="L263" s="12" t="s">
        <v>239</v>
      </c>
      <c r="M263" s="12" t="s">
        <v>1408</v>
      </c>
      <c r="N263" s="12" t="s">
        <v>1409</v>
      </c>
      <c r="O263" s="12" t="s">
        <v>1351</v>
      </c>
      <c r="P263" s="12" t="s">
        <v>3654</v>
      </c>
      <c r="Q263" s="12" t="s">
        <v>3655</v>
      </c>
      <c r="R263" s="12" t="s">
        <v>3250</v>
      </c>
      <c r="S263" s="12" t="s">
        <v>3656</v>
      </c>
      <c r="T263" s="12" t="s">
        <v>3657</v>
      </c>
    </row>
    <row r="264" spans="1:20" ht="56" x14ac:dyDescent="0.35">
      <c r="A264" s="12" t="s">
        <v>1410</v>
      </c>
      <c r="B264" s="12" t="s">
        <v>1411</v>
      </c>
      <c r="C264" s="12" t="s">
        <v>122</v>
      </c>
      <c r="D264" s="12" t="s">
        <v>33</v>
      </c>
      <c r="E264" s="12"/>
      <c r="F264" s="28" t="s">
        <v>202</v>
      </c>
      <c r="G264" s="28" t="s">
        <v>1414</v>
      </c>
      <c r="H264" s="12" t="s">
        <v>204</v>
      </c>
      <c r="I264" s="12" t="s">
        <v>53</v>
      </c>
      <c r="J264" s="12" t="s">
        <v>54</v>
      </c>
      <c r="K264" s="12" t="s">
        <v>228</v>
      </c>
      <c r="L264" s="12" t="s">
        <v>198</v>
      </c>
      <c r="M264" s="12" t="s">
        <v>1412</v>
      </c>
      <c r="N264" s="12" t="s">
        <v>1413</v>
      </c>
      <c r="O264" s="12" t="s">
        <v>1351</v>
      </c>
      <c r="P264" s="12"/>
      <c r="Q264" s="12"/>
      <c r="R264" s="12" t="s">
        <v>3270</v>
      </c>
      <c r="S264" s="12"/>
      <c r="T264" s="12" t="s">
        <v>3658</v>
      </c>
    </row>
    <row r="265" spans="1:20" ht="28" x14ac:dyDescent="0.35">
      <c r="A265" s="12" t="s">
        <v>1415</v>
      </c>
      <c r="B265" s="12" t="s">
        <v>1416</v>
      </c>
      <c r="C265" s="12" t="s">
        <v>122</v>
      </c>
      <c r="D265" s="12" t="s">
        <v>33</v>
      </c>
      <c r="E265" s="12"/>
      <c r="F265" s="28" t="s">
        <v>209</v>
      </c>
      <c r="G265" s="28" t="s">
        <v>1420</v>
      </c>
      <c r="H265" s="12" t="s">
        <v>1421</v>
      </c>
      <c r="I265" s="12" t="s">
        <v>59</v>
      </c>
      <c r="J265" s="12" t="s">
        <v>60</v>
      </c>
      <c r="K265" s="12" t="s">
        <v>228</v>
      </c>
      <c r="L265" s="12" t="s">
        <v>198</v>
      </c>
      <c r="M265" s="12" t="s">
        <v>1417</v>
      </c>
      <c r="N265" s="12" t="s">
        <v>1418</v>
      </c>
      <c r="O265" s="12" t="s">
        <v>1419</v>
      </c>
      <c r="P265" s="12"/>
      <c r="Q265" s="12"/>
      <c r="R265" s="12"/>
      <c r="S265" s="12"/>
      <c r="T265" s="12" t="s">
        <v>3659</v>
      </c>
    </row>
    <row r="266" spans="1:20" ht="28" x14ac:dyDescent="0.35">
      <c r="A266" s="12" t="s">
        <v>1422</v>
      </c>
      <c r="B266" s="12" t="s">
        <v>1423</v>
      </c>
      <c r="C266" s="12" t="s">
        <v>122</v>
      </c>
      <c r="D266" s="12" t="s">
        <v>33</v>
      </c>
      <c r="E266" s="12"/>
      <c r="F266" s="28" t="s">
        <v>209</v>
      </c>
      <c r="G266" s="28" t="s">
        <v>1426</v>
      </c>
      <c r="H266" s="12" t="s">
        <v>1427</v>
      </c>
      <c r="I266" s="12" t="s">
        <v>59</v>
      </c>
      <c r="J266" s="12" t="s">
        <v>60</v>
      </c>
      <c r="K266" s="12" t="s">
        <v>228</v>
      </c>
      <c r="L266" s="12" t="s">
        <v>198</v>
      </c>
      <c r="M266" s="12" t="s">
        <v>1424</v>
      </c>
      <c r="N266" s="12" t="s">
        <v>1425</v>
      </c>
      <c r="O266" s="12" t="s">
        <v>1419</v>
      </c>
      <c r="P266" s="12"/>
      <c r="Q266" s="12"/>
      <c r="R266" s="12"/>
      <c r="S266" s="12"/>
      <c r="T266" s="12" t="s">
        <v>3660</v>
      </c>
    </row>
    <row r="267" spans="1:20" ht="28" x14ac:dyDescent="0.35">
      <c r="A267" s="12" t="s">
        <v>1428</v>
      </c>
      <c r="B267" s="12" t="s">
        <v>1429</v>
      </c>
      <c r="C267" s="12" t="s">
        <v>122</v>
      </c>
      <c r="D267" s="12" t="s">
        <v>33</v>
      </c>
      <c r="E267" s="12"/>
      <c r="F267" s="28" t="s">
        <v>209</v>
      </c>
      <c r="G267" s="28" t="s">
        <v>1432</v>
      </c>
      <c r="H267" s="12" t="s">
        <v>1433</v>
      </c>
      <c r="I267" s="12" t="s">
        <v>93</v>
      </c>
      <c r="J267" s="12" t="s">
        <v>94</v>
      </c>
      <c r="K267" s="12" t="s">
        <v>228</v>
      </c>
      <c r="L267" s="12" t="s">
        <v>198</v>
      </c>
      <c r="M267" s="12" t="s">
        <v>1430</v>
      </c>
      <c r="N267" s="12" t="s">
        <v>1431</v>
      </c>
      <c r="O267" s="12" t="s">
        <v>1419</v>
      </c>
      <c r="P267" s="12"/>
      <c r="Q267" s="12"/>
      <c r="R267" s="12"/>
      <c r="S267" s="12"/>
      <c r="T267" s="12" t="s">
        <v>3661</v>
      </c>
    </row>
    <row r="268" spans="1:20" x14ac:dyDescent="0.35">
      <c r="A268" s="12" t="s">
        <v>1434</v>
      </c>
      <c r="B268" s="12" t="s">
        <v>1435</v>
      </c>
      <c r="C268" s="12" t="s">
        <v>122</v>
      </c>
      <c r="D268" s="12" t="s">
        <v>33</v>
      </c>
      <c r="E268" s="12"/>
      <c r="F268" s="28" t="s">
        <v>209</v>
      </c>
      <c r="G268" s="28" t="s">
        <v>1438</v>
      </c>
      <c r="H268" s="12" t="s">
        <v>1439</v>
      </c>
      <c r="I268" s="12" t="s">
        <v>55</v>
      </c>
      <c r="J268" s="12" t="s">
        <v>56</v>
      </c>
      <c r="K268" s="12" t="s">
        <v>228</v>
      </c>
      <c r="L268" s="12" t="s">
        <v>198</v>
      </c>
      <c r="M268" s="12" t="s">
        <v>1436</v>
      </c>
      <c r="N268" s="12" t="s">
        <v>1437</v>
      </c>
      <c r="O268" s="12" t="s">
        <v>1419</v>
      </c>
      <c r="P268" s="12"/>
      <c r="Q268" s="12"/>
      <c r="R268" s="12"/>
      <c r="S268" s="12" t="s">
        <v>3662</v>
      </c>
      <c r="T268" s="12" t="s">
        <v>3663</v>
      </c>
    </row>
    <row r="269" spans="1:20" ht="28" x14ac:dyDescent="0.35">
      <c r="A269" s="12" t="s">
        <v>1440</v>
      </c>
      <c r="B269" s="12" t="s">
        <v>1441</v>
      </c>
      <c r="C269" s="12" t="s">
        <v>122</v>
      </c>
      <c r="D269" s="12" t="s">
        <v>33</v>
      </c>
      <c r="E269" s="12"/>
      <c r="F269" s="28" t="s">
        <v>202</v>
      </c>
      <c r="G269" s="28" t="s">
        <v>313</v>
      </c>
      <c r="H269" s="12" t="s">
        <v>204</v>
      </c>
      <c r="I269" s="12" t="s">
        <v>59</v>
      </c>
      <c r="J269" s="12" t="s">
        <v>60</v>
      </c>
      <c r="K269" s="12" t="s">
        <v>308</v>
      </c>
      <c r="L269" s="12" t="s">
        <v>259</v>
      </c>
      <c r="M269" s="12" t="s">
        <v>1442</v>
      </c>
      <c r="N269" s="12" t="s">
        <v>1443</v>
      </c>
      <c r="O269" s="12" t="s">
        <v>1419</v>
      </c>
      <c r="P269" s="12"/>
      <c r="Q269" s="12"/>
      <c r="R269" s="12" t="s">
        <v>3250</v>
      </c>
      <c r="S269" s="12"/>
      <c r="T269" s="12" t="s">
        <v>3350</v>
      </c>
    </row>
    <row r="270" spans="1:20" x14ac:dyDescent="0.35">
      <c r="A270" s="12" t="s">
        <v>1444</v>
      </c>
      <c r="B270" s="12" t="s">
        <v>1445</v>
      </c>
      <c r="C270" s="12" t="s">
        <v>122</v>
      </c>
      <c r="D270" s="12" t="s">
        <v>33</v>
      </c>
      <c r="E270" s="12"/>
      <c r="F270" s="28" t="s">
        <v>209</v>
      </c>
      <c r="G270" s="28" t="s">
        <v>1448</v>
      </c>
      <c r="H270" s="12" t="s">
        <v>1449</v>
      </c>
      <c r="I270" s="12" t="s">
        <v>59</v>
      </c>
      <c r="J270" s="12" t="s">
        <v>60</v>
      </c>
      <c r="K270" s="12" t="s">
        <v>331</v>
      </c>
      <c r="L270" s="12" t="s">
        <v>239</v>
      </c>
      <c r="M270" s="12" t="s">
        <v>1446</v>
      </c>
      <c r="N270" s="12" t="s">
        <v>1447</v>
      </c>
      <c r="O270" s="12" t="s">
        <v>1419</v>
      </c>
      <c r="P270" s="12"/>
      <c r="Q270" s="12"/>
      <c r="R270" s="12"/>
      <c r="S270" s="12"/>
      <c r="T270" s="12" t="s">
        <v>3664</v>
      </c>
    </row>
    <row r="271" spans="1:20" ht="42" x14ac:dyDescent="0.35">
      <c r="A271" s="12" t="s">
        <v>1450</v>
      </c>
      <c r="B271" s="12" t="s">
        <v>1451</v>
      </c>
      <c r="C271" s="12" t="s">
        <v>122</v>
      </c>
      <c r="D271" s="12" t="s">
        <v>33</v>
      </c>
      <c r="E271" s="12"/>
      <c r="F271" s="28" t="s">
        <v>202</v>
      </c>
      <c r="G271" s="28" t="s">
        <v>1454</v>
      </c>
      <c r="H271" s="12" t="s">
        <v>204</v>
      </c>
      <c r="I271" s="12" t="s">
        <v>55</v>
      </c>
      <c r="J271" s="12" t="s">
        <v>56</v>
      </c>
      <c r="K271" s="12" t="s">
        <v>228</v>
      </c>
      <c r="L271" s="12" t="s">
        <v>198</v>
      </c>
      <c r="M271" s="12" t="s">
        <v>1452</v>
      </c>
      <c r="N271" s="12" t="s">
        <v>1453</v>
      </c>
      <c r="O271" s="12" t="s">
        <v>1419</v>
      </c>
      <c r="P271" s="12"/>
      <c r="Q271" s="12"/>
      <c r="R271" s="12" t="s">
        <v>3250</v>
      </c>
      <c r="S271" s="12" t="s">
        <v>3665</v>
      </c>
      <c r="T271" s="12" t="s">
        <v>3666</v>
      </c>
    </row>
    <row r="272" spans="1:20" ht="70" x14ac:dyDescent="0.35">
      <c r="A272" s="12" t="s">
        <v>1455</v>
      </c>
      <c r="B272" s="12" t="s">
        <v>1456</v>
      </c>
      <c r="C272" s="12" t="s">
        <v>122</v>
      </c>
      <c r="D272" s="12" t="s">
        <v>33</v>
      </c>
      <c r="E272" s="12"/>
      <c r="F272" s="28" t="s">
        <v>202</v>
      </c>
      <c r="G272" s="28" t="s">
        <v>1459</v>
      </c>
      <c r="H272" s="12" t="s">
        <v>204</v>
      </c>
      <c r="I272" s="12" t="s">
        <v>63</v>
      </c>
      <c r="J272" s="12" t="s">
        <v>64</v>
      </c>
      <c r="K272" s="12" t="s">
        <v>430</v>
      </c>
      <c r="L272" s="12" t="s">
        <v>386</v>
      </c>
      <c r="M272" s="12" t="s">
        <v>1457</v>
      </c>
      <c r="N272" s="12" t="s">
        <v>1458</v>
      </c>
      <c r="O272" s="12" t="s">
        <v>1419</v>
      </c>
      <c r="P272" s="12"/>
      <c r="Q272" s="12"/>
      <c r="R272" s="12" t="s">
        <v>3273</v>
      </c>
      <c r="S272" s="12"/>
      <c r="T272" s="12" t="s">
        <v>3667</v>
      </c>
    </row>
    <row r="273" spans="1:20" x14ac:dyDescent="0.35">
      <c r="A273" s="12" t="s">
        <v>2479</v>
      </c>
      <c r="B273" s="12" t="s">
        <v>2480</v>
      </c>
      <c r="C273" s="12" t="s">
        <v>122</v>
      </c>
      <c r="D273" s="12" t="s">
        <v>33</v>
      </c>
      <c r="E273" s="12" t="s">
        <v>2414</v>
      </c>
      <c r="F273" s="28" t="s">
        <v>209</v>
      </c>
      <c r="G273" s="28" t="s">
        <v>2483</v>
      </c>
      <c r="H273" s="12" t="s">
        <v>2484</v>
      </c>
      <c r="I273" s="12" t="s">
        <v>59</v>
      </c>
      <c r="J273" s="12" t="s">
        <v>60</v>
      </c>
      <c r="K273" s="12" t="s">
        <v>228</v>
      </c>
      <c r="L273" s="12" t="s">
        <v>198</v>
      </c>
      <c r="M273" s="12" t="s">
        <v>2481</v>
      </c>
      <c r="N273" s="12" t="s">
        <v>2482</v>
      </c>
      <c r="O273" s="12" t="s">
        <v>1419</v>
      </c>
      <c r="P273" s="12" t="s">
        <v>3325</v>
      </c>
      <c r="Q273" s="12" t="s">
        <v>3668</v>
      </c>
      <c r="R273" s="12"/>
      <c r="S273" s="12" t="s">
        <v>3669</v>
      </c>
      <c r="T273" s="12" t="s">
        <v>3670</v>
      </c>
    </row>
    <row r="274" spans="1:20" ht="28" x14ac:dyDescent="0.35">
      <c r="A274" s="12" t="s">
        <v>1460</v>
      </c>
      <c r="B274" s="12" t="s">
        <v>1461</v>
      </c>
      <c r="C274" s="12" t="s">
        <v>122</v>
      </c>
      <c r="D274" s="12" t="s">
        <v>33</v>
      </c>
      <c r="E274" s="12"/>
      <c r="F274" s="28" t="s">
        <v>216</v>
      </c>
      <c r="G274" s="28" t="s">
        <v>1464</v>
      </c>
      <c r="H274" s="12" t="s">
        <v>1465</v>
      </c>
      <c r="I274" s="12" t="s">
        <v>59</v>
      </c>
      <c r="J274" s="12" t="s">
        <v>60</v>
      </c>
      <c r="K274" s="12" t="s">
        <v>228</v>
      </c>
      <c r="L274" s="12" t="s">
        <v>198</v>
      </c>
      <c r="M274" s="12" t="s">
        <v>1462</v>
      </c>
      <c r="N274" s="12" t="s">
        <v>1463</v>
      </c>
      <c r="O274" s="12" t="s">
        <v>1419</v>
      </c>
      <c r="P274" s="12" t="s">
        <v>3330</v>
      </c>
      <c r="Q274" s="21" t="s">
        <v>4151</v>
      </c>
      <c r="R274" s="18"/>
      <c r="S274" s="12" t="s">
        <v>3671</v>
      </c>
      <c r="T274" s="12" t="s">
        <v>3672</v>
      </c>
    </row>
    <row r="275" spans="1:20" ht="28" x14ac:dyDescent="0.35">
      <c r="A275" s="12" t="s">
        <v>1466</v>
      </c>
      <c r="B275" s="12" t="s">
        <v>1467</v>
      </c>
      <c r="C275" s="12" t="s">
        <v>122</v>
      </c>
      <c r="D275" s="12" t="s">
        <v>33</v>
      </c>
      <c r="E275" s="12"/>
      <c r="F275" s="28" t="s">
        <v>209</v>
      </c>
      <c r="G275" s="28" t="s">
        <v>1470</v>
      </c>
      <c r="H275" s="12" t="s">
        <v>1471</v>
      </c>
      <c r="I275" s="12" t="s">
        <v>53</v>
      </c>
      <c r="J275" s="12" t="s">
        <v>54</v>
      </c>
      <c r="K275" s="12" t="s">
        <v>308</v>
      </c>
      <c r="L275" s="12" t="s">
        <v>259</v>
      </c>
      <c r="M275" s="12" t="s">
        <v>1468</v>
      </c>
      <c r="N275" s="12" t="s">
        <v>1469</v>
      </c>
      <c r="O275" s="12" t="s">
        <v>1419</v>
      </c>
      <c r="P275" s="12"/>
      <c r="Q275" s="12"/>
      <c r="R275" s="12"/>
      <c r="S275" s="12"/>
      <c r="T275" s="12" t="s">
        <v>3619</v>
      </c>
    </row>
    <row r="276" spans="1:20" ht="56" x14ac:dyDescent="0.35">
      <c r="A276" s="12" t="s">
        <v>1472</v>
      </c>
      <c r="B276" s="12" t="s">
        <v>1473</v>
      </c>
      <c r="C276" s="12" t="s">
        <v>122</v>
      </c>
      <c r="D276" s="12" t="s">
        <v>33</v>
      </c>
      <c r="E276" s="12"/>
      <c r="F276" s="28" t="s">
        <v>202</v>
      </c>
      <c r="G276" s="28" t="s">
        <v>1477</v>
      </c>
      <c r="H276" s="12" t="s">
        <v>204</v>
      </c>
      <c r="I276" s="12" t="s">
        <v>55</v>
      </c>
      <c r="J276" s="12" t="s">
        <v>56</v>
      </c>
      <c r="K276" s="12" t="s">
        <v>308</v>
      </c>
      <c r="L276" s="12" t="s">
        <v>259</v>
      </c>
      <c r="M276" s="12" t="s">
        <v>1474</v>
      </c>
      <c r="N276" s="12" t="s">
        <v>1475</v>
      </c>
      <c r="O276" s="12" t="s">
        <v>1476</v>
      </c>
      <c r="P276" s="12"/>
      <c r="Q276" s="12"/>
      <c r="R276" s="12" t="s">
        <v>3673</v>
      </c>
      <c r="S276" s="12" t="s">
        <v>3674</v>
      </c>
      <c r="T276" s="12" t="s">
        <v>3675</v>
      </c>
    </row>
    <row r="277" spans="1:20" ht="42" x14ac:dyDescent="0.35">
      <c r="A277" s="12" t="s">
        <v>1478</v>
      </c>
      <c r="B277" s="12" t="s">
        <v>1479</v>
      </c>
      <c r="C277" s="12" t="s">
        <v>122</v>
      </c>
      <c r="D277" s="12" t="s">
        <v>34</v>
      </c>
      <c r="E277" s="12"/>
      <c r="F277" s="28" t="s">
        <v>216</v>
      </c>
      <c r="G277" s="28" t="s">
        <v>1482</v>
      </c>
      <c r="H277" s="12" t="s">
        <v>1483</v>
      </c>
      <c r="I277" s="12" t="s">
        <v>63</v>
      </c>
      <c r="J277" s="12" t="s">
        <v>64</v>
      </c>
      <c r="K277" s="12" t="s">
        <v>308</v>
      </c>
      <c r="L277" s="12" t="s">
        <v>259</v>
      </c>
      <c r="M277" s="12" t="s">
        <v>1480</v>
      </c>
      <c r="N277" s="12" t="s">
        <v>1481</v>
      </c>
      <c r="O277" s="12" t="s">
        <v>1476</v>
      </c>
      <c r="P277" s="12"/>
      <c r="Q277" s="12"/>
      <c r="R277" s="12"/>
      <c r="S277" s="12" t="s">
        <v>3676</v>
      </c>
      <c r="T277" s="12" t="s">
        <v>3677</v>
      </c>
    </row>
    <row r="278" spans="1:20" x14ac:dyDescent="0.35">
      <c r="A278" s="12" t="s">
        <v>1484</v>
      </c>
      <c r="B278" s="12" t="s">
        <v>1485</v>
      </c>
      <c r="C278" s="12" t="s">
        <v>122</v>
      </c>
      <c r="D278" s="12" t="s">
        <v>34</v>
      </c>
      <c r="E278" s="12"/>
      <c r="F278" s="28" t="s">
        <v>216</v>
      </c>
      <c r="G278" s="28" t="s">
        <v>1489</v>
      </c>
      <c r="H278" s="12" t="s">
        <v>1490</v>
      </c>
      <c r="I278" s="12" t="s">
        <v>63</v>
      </c>
      <c r="J278" s="12" t="s">
        <v>64</v>
      </c>
      <c r="K278" s="12" t="s">
        <v>308</v>
      </c>
      <c r="L278" s="12" t="s">
        <v>259</v>
      </c>
      <c r="M278" s="12" t="s">
        <v>1486</v>
      </c>
      <c r="N278" s="12" t="s">
        <v>1487</v>
      </c>
      <c r="O278" s="12" t="s">
        <v>1488</v>
      </c>
      <c r="P278" s="12"/>
      <c r="Q278" s="12"/>
      <c r="R278" s="12"/>
      <c r="S278" s="12" t="s">
        <v>3678</v>
      </c>
      <c r="T278" s="12" t="s">
        <v>3619</v>
      </c>
    </row>
    <row r="279" spans="1:20" ht="56" x14ac:dyDescent="0.35">
      <c r="A279" s="12" t="s">
        <v>1491</v>
      </c>
      <c r="B279" s="12" t="s">
        <v>1492</v>
      </c>
      <c r="C279" s="12" t="s">
        <v>122</v>
      </c>
      <c r="D279" s="12" t="s">
        <v>34</v>
      </c>
      <c r="E279" s="12"/>
      <c r="F279" s="28" t="s">
        <v>216</v>
      </c>
      <c r="G279" s="28" t="s">
        <v>1495</v>
      </c>
      <c r="H279" s="12" t="s">
        <v>1496</v>
      </c>
      <c r="I279" s="12" t="s">
        <v>63</v>
      </c>
      <c r="J279" s="12" t="s">
        <v>64</v>
      </c>
      <c r="K279" s="12" t="s">
        <v>308</v>
      </c>
      <c r="L279" s="12" t="s">
        <v>259</v>
      </c>
      <c r="M279" s="12" t="s">
        <v>1493</v>
      </c>
      <c r="N279" s="12" t="s">
        <v>1494</v>
      </c>
      <c r="O279" s="12" t="s">
        <v>1488</v>
      </c>
      <c r="P279" s="12" t="s">
        <v>3330</v>
      </c>
      <c r="Q279" s="12" t="s">
        <v>3679</v>
      </c>
      <c r="R279" s="12"/>
      <c r="S279" s="12" t="s">
        <v>3680</v>
      </c>
      <c r="T279" s="12" t="s">
        <v>3681</v>
      </c>
    </row>
    <row r="280" spans="1:20" x14ac:dyDescent="0.35">
      <c r="A280" s="12" t="s">
        <v>1497</v>
      </c>
      <c r="B280" s="12" t="s">
        <v>1498</v>
      </c>
      <c r="C280" s="12" t="s">
        <v>122</v>
      </c>
      <c r="D280" s="12" t="s">
        <v>34</v>
      </c>
      <c r="E280" s="12"/>
      <c r="F280" s="28" t="s">
        <v>216</v>
      </c>
      <c r="G280" s="28" t="s">
        <v>1500</v>
      </c>
      <c r="H280" s="12" t="s">
        <v>1501</v>
      </c>
      <c r="I280" s="12" t="s">
        <v>63</v>
      </c>
      <c r="J280" s="12" t="s">
        <v>64</v>
      </c>
      <c r="K280" s="12" t="s">
        <v>308</v>
      </c>
      <c r="L280" s="12" t="s">
        <v>259</v>
      </c>
      <c r="M280" s="12" t="s">
        <v>1499</v>
      </c>
      <c r="N280" s="12" t="s">
        <v>1487</v>
      </c>
      <c r="O280" s="12" t="s">
        <v>1488</v>
      </c>
      <c r="P280" s="12"/>
      <c r="Q280" s="12"/>
      <c r="R280" s="12"/>
      <c r="S280" s="12" t="s">
        <v>3682</v>
      </c>
      <c r="T280" s="12" t="s">
        <v>3683</v>
      </c>
    </row>
    <row r="281" spans="1:20" ht="70" x14ac:dyDescent="0.35">
      <c r="A281" s="12" t="s">
        <v>1502</v>
      </c>
      <c r="B281" s="12" t="s">
        <v>1503</v>
      </c>
      <c r="C281" s="12" t="s">
        <v>122</v>
      </c>
      <c r="D281" s="12" t="s">
        <v>33</v>
      </c>
      <c r="E281" s="12"/>
      <c r="F281" s="28" t="s">
        <v>202</v>
      </c>
      <c r="G281" s="28" t="s">
        <v>1506</v>
      </c>
      <c r="H281" s="12" t="s">
        <v>204</v>
      </c>
      <c r="I281" s="12" t="s">
        <v>55</v>
      </c>
      <c r="J281" s="12" t="s">
        <v>56</v>
      </c>
      <c r="K281" s="12" t="s">
        <v>308</v>
      </c>
      <c r="L281" s="12" t="s">
        <v>259</v>
      </c>
      <c r="M281" s="12" t="s">
        <v>1504</v>
      </c>
      <c r="N281" s="12" t="s">
        <v>1505</v>
      </c>
      <c r="O281" s="12" t="s">
        <v>1488</v>
      </c>
      <c r="P281" s="12"/>
      <c r="Q281" s="12"/>
      <c r="R281" s="12" t="s">
        <v>3250</v>
      </c>
      <c r="S281" s="12"/>
      <c r="T281" s="12" t="s">
        <v>3684</v>
      </c>
    </row>
    <row r="282" spans="1:20" ht="28" x14ac:dyDescent="0.35">
      <c r="A282" s="12" t="s">
        <v>1507</v>
      </c>
      <c r="B282" s="12" t="s">
        <v>1508</v>
      </c>
      <c r="C282" s="12" t="s">
        <v>122</v>
      </c>
      <c r="D282" s="12" t="s">
        <v>33</v>
      </c>
      <c r="E282" s="12"/>
      <c r="F282" s="28" t="s">
        <v>209</v>
      </c>
      <c r="G282" s="28" t="s">
        <v>1512</v>
      </c>
      <c r="H282" s="12" t="s">
        <v>1513</v>
      </c>
      <c r="I282" s="12" t="s">
        <v>57</v>
      </c>
      <c r="J282" s="12" t="s">
        <v>58</v>
      </c>
      <c r="K282" s="12" t="s">
        <v>308</v>
      </c>
      <c r="L282" s="12" t="s">
        <v>259</v>
      </c>
      <c r="M282" s="12" t="s">
        <v>1509</v>
      </c>
      <c r="N282" s="12" t="s">
        <v>1510</v>
      </c>
      <c r="O282" s="12" t="s">
        <v>1511</v>
      </c>
      <c r="P282" s="12"/>
      <c r="Q282" s="12"/>
      <c r="R282" s="12"/>
      <c r="S282" s="12"/>
      <c r="T282" s="12" t="s">
        <v>3685</v>
      </c>
    </row>
    <row r="283" spans="1:20" ht="42" x14ac:dyDescent="0.35">
      <c r="A283" s="12" t="s">
        <v>1514</v>
      </c>
      <c r="B283" s="12" t="s">
        <v>1515</v>
      </c>
      <c r="C283" s="12" t="s">
        <v>122</v>
      </c>
      <c r="D283" s="12" t="s">
        <v>33</v>
      </c>
      <c r="E283" s="12"/>
      <c r="F283" s="28" t="s">
        <v>694</v>
      </c>
      <c r="G283" s="28" t="s">
        <v>1518</v>
      </c>
      <c r="H283" s="12" t="s">
        <v>1519</v>
      </c>
      <c r="I283" s="12" t="s">
        <v>61</v>
      </c>
      <c r="J283" s="12" t="s">
        <v>62</v>
      </c>
      <c r="K283" s="12" t="s">
        <v>228</v>
      </c>
      <c r="L283" s="12" t="s">
        <v>198</v>
      </c>
      <c r="M283" s="12" t="s">
        <v>1516</v>
      </c>
      <c r="N283" s="12" t="s">
        <v>1517</v>
      </c>
      <c r="O283" s="12" t="s">
        <v>1511</v>
      </c>
      <c r="P283" s="12"/>
      <c r="Q283" s="12"/>
      <c r="R283" s="12"/>
      <c r="S283" s="12" t="s">
        <v>3287</v>
      </c>
      <c r="T283" s="12" t="s">
        <v>3686</v>
      </c>
    </row>
    <row r="284" spans="1:20" ht="42" x14ac:dyDescent="0.35">
      <c r="A284" s="12" t="s">
        <v>1520</v>
      </c>
      <c r="B284" s="12" t="s">
        <v>1521</v>
      </c>
      <c r="C284" s="12" t="s">
        <v>122</v>
      </c>
      <c r="D284" s="12" t="s">
        <v>33</v>
      </c>
      <c r="E284" s="12"/>
      <c r="F284" s="28" t="s">
        <v>202</v>
      </c>
      <c r="G284" s="28" t="s">
        <v>1524</v>
      </c>
      <c r="H284" s="12" t="s">
        <v>204</v>
      </c>
      <c r="I284" s="12" t="s">
        <v>61</v>
      </c>
      <c r="J284" s="12" t="s">
        <v>62</v>
      </c>
      <c r="K284" s="12" t="s">
        <v>331</v>
      </c>
      <c r="L284" s="12" t="s">
        <v>239</v>
      </c>
      <c r="M284" s="12" t="s">
        <v>1522</v>
      </c>
      <c r="N284" s="12" t="s">
        <v>1523</v>
      </c>
      <c r="O284" s="12" t="s">
        <v>1511</v>
      </c>
      <c r="P284" s="12"/>
      <c r="Q284" s="12"/>
      <c r="R284" s="12" t="s">
        <v>3687</v>
      </c>
      <c r="S284" s="12" t="s">
        <v>3688</v>
      </c>
      <c r="T284" s="12" t="s">
        <v>3319</v>
      </c>
    </row>
    <row r="285" spans="1:20" ht="28" x14ac:dyDescent="0.35">
      <c r="A285" s="12" t="s">
        <v>1525</v>
      </c>
      <c r="B285" s="12" t="s">
        <v>1526</v>
      </c>
      <c r="C285" s="12" t="s">
        <v>122</v>
      </c>
      <c r="D285" s="12" t="s">
        <v>34</v>
      </c>
      <c r="E285" s="12"/>
      <c r="F285" s="28" t="s">
        <v>202</v>
      </c>
      <c r="G285" s="28" t="s">
        <v>468</v>
      </c>
      <c r="H285" s="12" t="s">
        <v>204</v>
      </c>
      <c r="I285" s="12" t="s">
        <v>65</v>
      </c>
      <c r="J285" s="12" t="s">
        <v>66</v>
      </c>
      <c r="K285" s="12" t="s">
        <v>430</v>
      </c>
      <c r="L285" s="12" t="s">
        <v>386</v>
      </c>
      <c r="M285" s="12" t="s">
        <v>1527</v>
      </c>
      <c r="N285" s="12" t="s">
        <v>1528</v>
      </c>
      <c r="O285" s="12" t="s">
        <v>1511</v>
      </c>
      <c r="P285" s="12"/>
      <c r="Q285" s="12"/>
      <c r="R285" s="12" t="s">
        <v>3689</v>
      </c>
      <c r="S285" s="12" t="s">
        <v>3690</v>
      </c>
      <c r="T285" s="12" t="s">
        <v>3691</v>
      </c>
    </row>
    <row r="286" spans="1:20" x14ac:dyDescent="0.35">
      <c r="A286" s="12" t="s">
        <v>1529</v>
      </c>
      <c r="B286" s="12" t="s">
        <v>1530</v>
      </c>
      <c r="C286" s="12" t="s">
        <v>122</v>
      </c>
      <c r="D286" s="12" t="s">
        <v>33</v>
      </c>
      <c r="E286" s="12"/>
      <c r="F286" s="28" t="s">
        <v>209</v>
      </c>
      <c r="G286" s="28" t="s">
        <v>1533</v>
      </c>
      <c r="H286" s="12" t="s">
        <v>1534</v>
      </c>
      <c r="I286" s="12" t="s">
        <v>53</v>
      </c>
      <c r="J286" s="12" t="s">
        <v>54</v>
      </c>
      <c r="K286" s="12" t="s">
        <v>228</v>
      </c>
      <c r="L286" s="12" t="s">
        <v>198</v>
      </c>
      <c r="M286" s="12" t="s">
        <v>1531</v>
      </c>
      <c r="N286" s="12" t="s">
        <v>1532</v>
      </c>
      <c r="O286" s="12" t="s">
        <v>1511</v>
      </c>
      <c r="P286" s="12"/>
      <c r="Q286" s="12"/>
      <c r="R286" s="12"/>
      <c r="S286" s="12"/>
      <c r="T286" s="12" t="s">
        <v>3692</v>
      </c>
    </row>
    <row r="287" spans="1:20" ht="28" x14ac:dyDescent="0.35">
      <c r="A287" s="12" t="s">
        <v>1535</v>
      </c>
      <c r="B287" s="12" t="s">
        <v>1536</v>
      </c>
      <c r="C287" s="12" t="s">
        <v>122</v>
      </c>
      <c r="D287" s="12" t="s">
        <v>34</v>
      </c>
      <c r="E287" s="12"/>
      <c r="F287" s="28" t="s">
        <v>216</v>
      </c>
      <c r="G287" s="28" t="s">
        <v>1539</v>
      </c>
      <c r="H287" s="12" t="s">
        <v>1540</v>
      </c>
      <c r="I287" s="12" t="s">
        <v>63</v>
      </c>
      <c r="J287" s="12" t="s">
        <v>64</v>
      </c>
      <c r="K287" s="12" t="s">
        <v>228</v>
      </c>
      <c r="L287" s="12" t="s">
        <v>198</v>
      </c>
      <c r="M287" s="12" t="s">
        <v>1537</v>
      </c>
      <c r="N287" s="12" t="s">
        <v>1538</v>
      </c>
      <c r="O287" s="12" t="s">
        <v>1511</v>
      </c>
      <c r="P287" s="12"/>
      <c r="Q287" s="12"/>
      <c r="R287" s="12" t="s">
        <v>3414</v>
      </c>
      <c r="S287" s="12" t="s">
        <v>3693</v>
      </c>
      <c r="T287" s="12" t="s">
        <v>3694</v>
      </c>
    </row>
    <row r="288" spans="1:20" ht="28" x14ac:dyDescent="0.35">
      <c r="A288" s="12" t="s">
        <v>1541</v>
      </c>
      <c r="B288" s="12" t="s">
        <v>1542</v>
      </c>
      <c r="C288" s="12" t="s">
        <v>122</v>
      </c>
      <c r="D288" s="12" t="s">
        <v>33</v>
      </c>
      <c r="E288" s="12"/>
      <c r="F288" s="28" t="s">
        <v>202</v>
      </c>
      <c r="G288" s="28" t="s">
        <v>473</v>
      </c>
      <c r="H288" s="12" t="s">
        <v>204</v>
      </c>
      <c r="I288" s="12" t="s">
        <v>67</v>
      </c>
      <c r="J288" s="12" t="s">
        <v>68</v>
      </c>
      <c r="K288" s="12" t="s">
        <v>228</v>
      </c>
      <c r="L288" s="12" t="s">
        <v>198</v>
      </c>
      <c r="M288" s="12" t="s">
        <v>1543</v>
      </c>
      <c r="N288" s="12" t="s">
        <v>1544</v>
      </c>
      <c r="O288" s="12" t="s">
        <v>1511</v>
      </c>
      <c r="P288" s="12"/>
      <c r="Q288" s="12"/>
      <c r="R288" s="12" t="s">
        <v>3250</v>
      </c>
      <c r="S288" s="12"/>
      <c r="T288" s="12" t="s">
        <v>3695</v>
      </c>
    </row>
    <row r="289" spans="1:20" ht="28" x14ac:dyDescent="0.35">
      <c r="A289" s="12" t="s">
        <v>1545</v>
      </c>
      <c r="B289" s="12" t="s">
        <v>1546</v>
      </c>
      <c r="C289" s="12" t="s">
        <v>122</v>
      </c>
      <c r="D289" s="12" t="s">
        <v>33</v>
      </c>
      <c r="E289" s="12"/>
      <c r="F289" s="28" t="s">
        <v>202</v>
      </c>
      <c r="G289" s="28" t="s">
        <v>318</v>
      </c>
      <c r="H289" s="12" t="s">
        <v>204</v>
      </c>
      <c r="I289" s="12" t="s">
        <v>61</v>
      </c>
      <c r="J289" s="12" t="s">
        <v>62</v>
      </c>
      <c r="K289" s="12" t="s">
        <v>308</v>
      </c>
      <c r="L289" s="12" t="s">
        <v>259</v>
      </c>
      <c r="M289" s="12" t="s">
        <v>1547</v>
      </c>
      <c r="N289" s="12" t="s">
        <v>1548</v>
      </c>
      <c r="O289" s="12" t="s">
        <v>1511</v>
      </c>
      <c r="P289" s="12"/>
      <c r="Q289" s="12"/>
      <c r="R289" s="12" t="s">
        <v>3250</v>
      </c>
      <c r="S289" s="12" t="s">
        <v>3696</v>
      </c>
      <c r="T289" s="12" t="s">
        <v>3697</v>
      </c>
    </row>
    <row r="290" spans="1:20" ht="56" x14ac:dyDescent="0.35">
      <c r="A290" s="12" t="s">
        <v>1549</v>
      </c>
      <c r="B290" s="12" t="s">
        <v>1550</v>
      </c>
      <c r="C290" s="12" t="s">
        <v>122</v>
      </c>
      <c r="D290" s="12" t="s">
        <v>33</v>
      </c>
      <c r="E290" s="12"/>
      <c r="F290" s="28" t="s">
        <v>202</v>
      </c>
      <c r="G290" s="28" t="s">
        <v>952</v>
      </c>
      <c r="H290" s="12" t="s">
        <v>204</v>
      </c>
      <c r="I290" s="12" t="s">
        <v>57</v>
      </c>
      <c r="J290" s="12" t="s">
        <v>58</v>
      </c>
      <c r="K290" s="12" t="s">
        <v>228</v>
      </c>
      <c r="L290" s="12" t="s">
        <v>198</v>
      </c>
      <c r="M290" s="12" t="s">
        <v>1551</v>
      </c>
      <c r="N290" s="12" t="s">
        <v>1552</v>
      </c>
      <c r="O290" s="12" t="s">
        <v>1511</v>
      </c>
      <c r="P290" s="12"/>
      <c r="Q290" s="12"/>
      <c r="R290" s="12" t="s">
        <v>3588</v>
      </c>
      <c r="S290" s="12" t="s">
        <v>3698</v>
      </c>
      <c r="T290" s="12" t="s">
        <v>3699</v>
      </c>
    </row>
    <row r="291" spans="1:20" ht="28" x14ac:dyDescent="0.35">
      <c r="A291" s="12" t="s">
        <v>1553</v>
      </c>
      <c r="B291" s="12" t="s">
        <v>1554</v>
      </c>
      <c r="C291" s="12" t="s">
        <v>122</v>
      </c>
      <c r="D291" s="12" t="s">
        <v>33</v>
      </c>
      <c r="E291" s="12"/>
      <c r="F291" s="28" t="s">
        <v>202</v>
      </c>
      <c r="G291" s="28" t="s">
        <v>414</v>
      </c>
      <c r="H291" s="12" t="s">
        <v>204</v>
      </c>
      <c r="I291" s="12" t="s">
        <v>57</v>
      </c>
      <c r="J291" s="12" t="s">
        <v>58</v>
      </c>
      <c r="K291" s="12" t="s">
        <v>228</v>
      </c>
      <c r="L291" s="12" t="s">
        <v>198</v>
      </c>
      <c r="M291" s="12" t="s">
        <v>1555</v>
      </c>
      <c r="N291" s="12" t="s">
        <v>1556</v>
      </c>
      <c r="O291" s="12" t="s">
        <v>1511</v>
      </c>
      <c r="P291" s="12"/>
      <c r="Q291" s="12"/>
      <c r="R291" s="12" t="s">
        <v>3250</v>
      </c>
      <c r="S291" s="12" t="s">
        <v>3700</v>
      </c>
      <c r="T291" s="12" t="s">
        <v>3701</v>
      </c>
    </row>
    <row r="292" spans="1:20" ht="56" x14ac:dyDescent="0.35">
      <c r="A292" s="12" t="s">
        <v>2485</v>
      </c>
      <c r="B292" s="12" t="s">
        <v>2486</v>
      </c>
      <c r="C292" s="12" t="s">
        <v>122</v>
      </c>
      <c r="D292" s="12" t="s">
        <v>33</v>
      </c>
      <c r="E292" s="12" t="s">
        <v>2421</v>
      </c>
      <c r="F292" s="28" t="s">
        <v>216</v>
      </c>
      <c r="G292" s="28" t="s">
        <v>2489</v>
      </c>
      <c r="H292" s="12" t="s">
        <v>2490</v>
      </c>
      <c r="I292" s="12" t="s">
        <v>63</v>
      </c>
      <c r="J292" s="12" t="s">
        <v>64</v>
      </c>
      <c r="K292" s="12" t="s">
        <v>331</v>
      </c>
      <c r="L292" s="12" t="s">
        <v>239</v>
      </c>
      <c r="M292" s="12" t="s">
        <v>2487</v>
      </c>
      <c r="N292" s="12" t="s">
        <v>2488</v>
      </c>
      <c r="O292" s="12" t="s">
        <v>1511</v>
      </c>
      <c r="P292" s="12" t="s">
        <v>3378</v>
      </c>
      <c r="Q292" s="12" t="s">
        <v>3702</v>
      </c>
      <c r="R292" s="12"/>
      <c r="S292" s="12" t="s">
        <v>3703</v>
      </c>
      <c r="T292" s="12" t="s">
        <v>3356</v>
      </c>
    </row>
    <row r="293" spans="1:20" ht="56" x14ac:dyDescent="0.35">
      <c r="A293" s="12" t="s">
        <v>1557</v>
      </c>
      <c r="B293" s="12" t="s">
        <v>1558</v>
      </c>
      <c r="C293" s="12" t="s">
        <v>122</v>
      </c>
      <c r="D293" s="12" t="s">
        <v>33</v>
      </c>
      <c r="E293" s="12"/>
      <c r="F293" s="28" t="s">
        <v>202</v>
      </c>
      <c r="G293" s="28" t="s">
        <v>1561</v>
      </c>
      <c r="H293" s="12" t="s">
        <v>204</v>
      </c>
      <c r="I293" s="12" t="s">
        <v>57</v>
      </c>
      <c r="J293" s="12" t="s">
        <v>58</v>
      </c>
      <c r="K293" s="12" t="s">
        <v>331</v>
      </c>
      <c r="L293" s="12" t="s">
        <v>239</v>
      </c>
      <c r="M293" s="12" t="s">
        <v>1559</v>
      </c>
      <c r="N293" s="12" t="s">
        <v>1560</v>
      </c>
      <c r="O293" s="12" t="s">
        <v>1511</v>
      </c>
      <c r="P293" s="12"/>
      <c r="Q293" s="12"/>
      <c r="R293" s="12" t="s">
        <v>3250</v>
      </c>
      <c r="S293" s="12"/>
      <c r="T293" s="12" t="s">
        <v>3704</v>
      </c>
    </row>
    <row r="294" spans="1:20" x14ac:dyDescent="0.35">
      <c r="A294" s="12" t="s">
        <v>2491</v>
      </c>
      <c r="B294" s="12" t="s">
        <v>2492</v>
      </c>
      <c r="C294" s="12" t="s">
        <v>122</v>
      </c>
      <c r="D294" s="12" t="s">
        <v>33</v>
      </c>
      <c r="E294" s="12" t="s">
        <v>2414</v>
      </c>
      <c r="F294" s="28" t="s">
        <v>209</v>
      </c>
      <c r="G294" s="28" t="s">
        <v>2495</v>
      </c>
      <c r="H294" s="12" t="s">
        <v>2496</v>
      </c>
      <c r="I294" s="12" t="s">
        <v>73</v>
      </c>
      <c r="J294" s="12" t="s">
        <v>74</v>
      </c>
      <c r="K294" s="12" t="s">
        <v>228</v>
      </c>
      <c r="L294" s="12" t="s">
        <v>198</v>
      </c>
      <c r="M294" s="12" t="s">
        <v>2493</v>
      </c>
      <c r="N294" s="12" t="s">
        <v>2494</v>
      </c>
      <c r="O294" s="12" t="s">
        <v>1511</v>
      </c>
      <c r="P294" s="12" t="s">
        <v>3325</v>
      </c>
      <c r="Q294" s="12" t="s">
        <v>3705</v>
      </c>
      <c r="R294" s="12"/>
      <c r="S294" s="12" t="s">
        <v>3706</v>
      </c>
      <c r="T294" s="12" t="s">
        <v>3283</v>
      </c>
    </row>
    <row r="295" spans="1:20" ht="28" x14ac:dyDescent="0.35">
      <c r="A295" s="12" t="s">
        <v>1562</v>
      </c>
      <c r="B295" s="12" t="s">
        <v>1563</v>
      </c>
      <c r="C295" s="12" t="s">
        <v>122</v>
      </c>
      <c r="D295" s="12" t="s">
        <v>33</v>
      </c>
      <c r="E295" s="12"/>
      <c r="F295" s="28" t="s">
        <v>202</v>
      </c>
      <c r="G295" s="28" t="s">
        <v>313</v>
      </c>
      <c r="H295" s="12" t="s">
        <v>204</v>
      </c>
      <c r="I295" s="12" t="s">
        <v>59</v>
      </c>
      <c r="J295" s="12" t="s">
        <v>60</v>
      </c>
      <c r="K295" s="12" t="s">
        <v>228</v>
      </c>
      <c r="L295" s="12" t="s">
        <v>198</v>
      </c>
      <c r="M295" s="12" t="s">
        <v>1564</v>
      </c>
      <c r="N295" s="12" t="s">
        <v>1565</v>
      </c>
      <c r="O295" s="12" t="s">
        <v>1511</v>
      </c>
      <c r="P295" s="12"/>
      <c r="Q295" s="12"/>
      <c r="R295" s="12" t="s">
        <v>3250</v>
      </c>
      <c r="S295" s="12"/>
      <c r="T295" s="12" t="s">
        <v>3707</v>
      </c>
    </row>
    <row r="296" spans="1:20" ht="70" x14ac:dyDescent="0.35">
      <c r="A296" s="12" t="s">
        <v>1566</v>
      </c>
      <c r="B296" s="12" t="s">
        <v>1567</v>
      </c>
      <c r="C296" s="12" t="s">
        <v>122</v>
      </c>
      <c r="D296" s="12" t="s">
        <v>33</v>
      </c>
      <c r="E296" s="12"/>
      <c r="F296" s="28" t="s">
        <v>202</v>
      </c>
      <c r="G296" s="28" t="s">
        <v>1570</v>
      </c>
      <c r="H296" s="12" t="s">
        <v>204</v>
      </c>
      <c r="I296" s="12" t="s">
        <v>53</v>
      </c>
      <c r="J296" s="12" t="s">
        <v>54</v>
      </c>
      <c r="K296" s="12" t="s">
        <v>331</v>
      </c>
      <c r="L296" s="12" t="s">
        <v>239</v>
      </c>
      <c r="M296" s="12" t="s">
        <v>1568</v>
      </c>
      <c r="N296" s="12" t="s">
        <v>1569</v>
      </c>
      <c r="O296" s="12" t="s">
        <v>1511</v>
      </c>
      <c r="P296" s="12"/>
      <c r="Q296" s="12"/>
      <c r="R296" s="12" t="s">
        <v>3250</v>
      </c>
      <c r="S296" s="12" t="s">
        <v>3708</v>
      </c>
      <c r="T296" s="12" t="s">
        <v>3709</v>
      </c>
    </row>
    <row r="297" spans="1:20" x14ac:dyDescent="0.35">
      <c r="A297" s="12" t="s">
        <v>1571</v>
      </c>
      <c r="B297" s="12" t="s">
        <v>1572</v>
      </c>
      <c r="C297" s="12" t="s">
        <v>122</v>
      </c>
      <c r="D297" s="12" t="s">
        <v>33</v>
      </c>
      <c r="E297" s="12"/>
      <c r="F297" s="28" t="s">
        <v>209</v>
      </c>
      <c r="G297" s="28" t="s">
        <v>1576</v>
      </c>
      <c r="H297" s="12" t="s">
        <v>1577</v>
      </c>
      <c r="I297" s="12" t="s">
        <v>77</v>
      </c>
      <c r="J297" s="12" t="s">
        <v>78</v>
      </c>
      <c r="K297" s="12" t="s">
        <v>308</v>
      </c>
      <c r="L297" s="12" t="s">
        <v>259</v>
      </c>
      <c r="M297" s="12" t="s">
        <v>1573</v>
      </c>
      <c r="N297" s="12" t="s">
        <v>1574</v>
      </c>
      <c r="O297" s="12" t="s">
        <v>1575</v>
      </c>
      <c r="P297" s="12"/>
      <c r="Q297" s="12"/>
      <c r="R297" s="12"/>
      <c r="S297" s="12"/>
      <c r="T297" s="12" t="s">
        <v>3710</v>
      </c>
    </row>
    <row r="298" spans="1:20" ht="28" x14ac:dyDescent="0.35">
      <c r="A298" s="12" t="s">
        <v>1578</v>
      </c>
      <c r="B298" s="12" t="s">
        <v>1579</v>
      </c>
      <c r="C298" s="12" t="s">
        <v>122</v>
      </c>
      <c r="D298" s="12" t="s">
        <v>34</v>
      </c>
      <c r="E298" s="12"/>
      <c r="F298" s="28" t="s">
        <v>202</v>
      </c>
      <c r="G298" s="28" t="s">
        <v>1582</v>
      </c>
      <c r="H298" s="12" t="s">
        <v>1583</v>
      </c>
      <c r="I298" s="12" t="s">
        <v>63</v>
      </c>
      <c r="J298" s="12" t="s">
        <v>64</v>
      </c>
      <c r="K298" s="12" t="s">
        <v>308</v>
      </c>
      <c r="L298" s="12" t="s">
        <v>259</v>
      </c>
      <c r="M298" s="12" t="s">
        <v>1580</v>
      </c>
      <c r="N298" s="12" t="s">
        <v>1581</v>
      </c>
      <c r="O298" s="12" t="s">
        <v>1575</v>
      </c>
      <c r="P298" s="12"/>
      <c r="Q298" s="12"/>
      <c r="R298" s="12" t="s">
        <v>3414</v>
      </c>
      <c r="S298" s="12"/>
      <c r="T298" s="12" t="s">
        <v>3711</v>
      </c>
    </row>
    <row r="299" spans="1:20" ht="28" x14ac:dyDescent="0.35">
      <c r="A299" s="12" t="s">
        <v>1584</v>
      </c>
      <c r="B299" s="12" t="s">
        <v>1585</v>
      </c>
      <c r="C299" s="12" t="s">
        <v>122</v>
      </c>
      <c r="D299" s="12" t="s">
        <v>33</v>
      </c>
      <c r="E299" s="12"/>
      <c r="F299" s="28" t="s">
        <v>202</v>
      </c>
      <c r="G299" s="28" t="s">
        <v>468</v>
      </c>
      <c r="H299" s="12" t="s">
        <v>204</v>
      </c>
      <c r="I299" s="12" t="s">
        <v>65</v>
      </c>
      <c r="J299" s="12" t="s">
        <v>66</v>
      </c>
      <c r="K299" s="12" t="s">
        <v>308</v>
      </c>
      <c r="L299" s="12" t="s">
        <v>259</v>
      </c>
      <c r="M299" s="12" t="s">
        <v>1586</v>
      </c>
      <c r="N299" s="12" t="s">
        <v>1587</v>
      </c>
      <c r="O299" s="12" t="s">
        <v>1575</v>
      </c>
      <c r="P299" s="12" t="s">
        <v>3654</v>
      </c>
      <c r="Q299" s="12" t="s">
        <v>3712</v>
      </c>
      <c r="R299" s="12" t="s">
        <v>3250</v>
      </c>
      <c r="S299" s="12"/>
      <c r="T299" s="12" t="s">
        <v>3713</v>
      </c>
    </row>
    <row r="300" spans="1:20" ht="56" x14ac:dyDescent="0.35">
      <c r="A300" s="12" t="s">
        <v>1588</v>
      </c>
      <c r="B300" s="12" t="s">
        <v>1589</v>
      </c>
      <c r="C300" s="12" t="s">
        <v>122</v>
      </c>
      <c r="D300" s="12" t="s">
        <v>33</v>
      </c>
      <c r="E300" s="12"/>
      <c r="F300" s="28" t="s">
        <v>202</v>
      </c>
      <c r="G300" s="28" t="s">
        <v>1592</v>
      </c>
      <c r="H300" s="12" t="s">
        <v>204</v>
      </c>
      <c r="I300" s="12" t="s">
        <v>59</v>
      </c>
      <c r="J300" s="12" t="s">
        <v>60</v>
      </c>
      <c r="K300" s="12" t="s">
        <v>228</v>
      </c>
      <c r="L300" s="12" t="s">
        <v>198</v>
      </c>
      <c r="M300" s="12" t="s">
        <v>1590</v>
      </c>
      <c r="N300" s="12" t="s">
        <v>1591</v>
      </c>
      <c r="O300" s="12" t="s">
        <v>1575</v>
      </c>
      <c r="P300" s="12"/>
      <c r="Q300" s="12"/>
      <c r="R300" s="12" t="s">
        <v>3250</v>
      </c>
      <c r="S300" s="12"/>
      <c r="T300" s="12" t="s">
        <v>3714</v>
      </c>
    </row>
    <row r="301" spans="1:20" ht="56" x14ac:dyDescent="0.35">
      <c r="A301" s="12" t="s">
        <v>1593</v>
      </c>
      <c r="B301" s="12" t="s">
        <v>1594</v>
      </c>
      <c r="C301" s="12" t="s">
        <v>122</v>
      </c>
      <c r="D301" s="12" t="s">
        <v>33</v>
      </c>
      <c r="E301" s="12"/>
      <c r="F301" s="28" t="s">
        <v>202</v>
      </c>
      <c r="G301" s="28" t="s">
        <v>1597</v>
      </c>
      <c r="H301" s="12" t="s">
        <v>204</v>
      </c>
      <c r="I301" s="12" t="s">
        <v>53</v>
      </c>
      <c r="J301" s="12" t="s">
        <v>54</v>
      </c>
      <c r="K301" s="12" t="s">
        <v>228</v>
      </c>
      <c r="L301" s="12" t="s">
        <v>198</v>
      </c>
      <c r="M301" s="12" t="s">
        <v>1595</v>
      </c>
      <c r="N301" s="12" t="s">
        <v>1596</v>
      </c>
      <c r="O301" s="12" t="s">
        <v>1575</v>
      </c>
      <c r="P301" s="12"/>
      <c r="Q301" s="12"/>
      <c r="R301" s="12" t="s">
        <v>3250</v>
      </c>
      <c r="S301" s="12"/>
      <c r="T301" s="12" t="s">
        <v>3715</v>
      </c>
    </row>
    <row r="302" spans="1:20" x14ac:dyDescent="0.35">
      <c r="A302" s="12" t="s">
        <v>1598</v>
      </c>
      <c r="B302" s="12" t="s">
        <v>1599</v>
      </c>
      <c r="C302" s="12" t="s">
        <v>122</v>
      </c>
      <c r="D302" s="12" t="s">
        <v>33</v>
      </c>
      <c r="E302" s="12"/>
      <c r="F302" s="28" t="s">
        <v>209</v>
      </c>
      <c r="G302" s="28" t="s">
        <v>1603</v>
      </c>
      <c r="H302" s="12" t="s">
        <v>1604</v>
      </c>
      <c r="I302" s="12" t="s">
        <v>55</v>
      </c>
      <c r="J302" s="12" t="s">
        <v>56</v>
      </c>
      <c r="K302" s="12" t="s">
        <v>308</v>
      </c>
      <c r="L302" s="12" t="s">
        <v>259</v>
      </c>
      <c r="M302" s="12" t="s">
        <v>1600</v>
      </c>
      <c r="N302" s="12" t="s">
        <v>1601</v>
      </c>
      <c r="O302" s="12" t="s">
        <v>1602</v>
      </c>
      <c r="P302" s="12"/>
      <c r="Q302" s="12"/>
      <c r="R302" s="12"/>
      <c r="S302" s="12"/>
      <c r="T302" s="12" t="s">
        <v>3716</v>
      </c>
    </row>
    <row r="303" spans="1:20" x14ac:dyDescent="0.35">
      <c r="A303" s="12" t="s">
        <v>1605</v>
      </c>
      <c r="B303" s="12" t="s">
        <v>1606</v>
      </c>
      <c r="C303" s="12" t="s">
        <v>122</v>
      </c>
      <c r="D303" s="12" t="s">
        <v>33</v>
      </c>
      <c r="E303" s="12"/>
      <c r="F303" s="28" t="s">
        <v>209</v>
      </c>
      <c r="G303" s="28" t="s">
        <v>1609</v>
      </c>
      <c r="H303" s="12" t="s">
        <v>1610</v>
      </c>
      <c r="I303" s="12" t="s">
        <v>55</v>
      </c>
      <c r="J303" s="12" t="s">
        <v>56</v>
      </c>
      <c r="K303" s="12" t="s">
        <v>228</v>
      </c>
      <c r="L303" s="12" t="s">
        <v>198</v>
      </c>
      <c r="M303" s="12" t="s">
        <v>1607</v>
      </c>
      <c r="N303" s="12" t="s">
        <v>1608</v>
      </c>
      <c r="O303" s="12" t="s">
        <v>1602</v>
      </c>
      <c r="P303" s="12"/>
      <c r="Q303" s="12"/>
      <c r="R303" s="12"/>
      <c r="S303" s="12" t="s">
        <v>3717</v>
      </c>
      <c r="T303" s="12" t="s">
        <v>3661</v>
      </c>
    </row>
    <row r="304" spans="1:20" x14ac:dyDescent="0.35">
      <c r="A304" s="12" t="s">
        <v>1611</v>
      </c>
      <c r="B304" s="12" t="s">
        <v>1612</v>
      </c>
      <c r="C304" s="12" t="s">
        <v>122</v>
      </c>
      <c r="D304" s="12" t="s">
        <v>33</v>
      </c>
      <c r="E304" s="12"/>
      <c r="F304" s="28" t="s">
        <v>209</v>
      </c>
      <c r="G304" s="28" t="s">
        <v>1616</v>
      </c>
      <c r="H304" s="12" t="s">
        <v>1617</v>
      </c>
      <c r="I304" s="12" t="s">
        <v>67</v>
      </c>
      <c r="J304" s="12" t="s">
        <v>68</v>
      </c>
      <c r="K304" s="12" t="s">
        <v>228</v>
      </c>
      <c r="L304" s="12" t="s">
        <v>198</v>
      </c>
      <c r="M304" s="12" t="s">
        <v>1613</v>
      </c>
      <c r="N304" s="12" t="s">
        <v>1614</v>
      </c>
      <c r="O304" s="12" t="s">
        <v>1615</v>
      </c>
      <c r="P304" s="12"/>
      <c r="Q304" s="12"/>
      <c r="R304" s="12"/>
      <c r="S304" s="12"/>
      <c r="T304" s="12" t="s">
        <v>3718</v>
      </c>
    </row>
    <row r="305" spans="1:20" ht="28" x14ac:dyDescent="0.35">
      <c r="A305" s="12" t="s">
        <v>1618</v>
      </c>
      <c r="B305" s="12" t="s">
        <v>1619</v>
      </c>
      <c r="C305" s="12" t="s">
        <v>122</v>
      </c>
      <c r="D305" s="12" t="s">
        <v>33</v>
      </c>
      <c r="E305" s="12"/>
      <c r="F305" s="28" t="s">
        <v>202</v>
      </c>
      <c r="G305" s="28" t="s">
        <v>229</v>
      </c>
      <c r="H305" s="12" t="s">
        <v>204</v>
      </c>
      <c r="I305" s="12" t="s">
        <v>53</v>
      </c>
      <c r="J305" s="12" t="s">
        <v>54</v>
      </c>
      <c r="K305" s="12" t="s">
        <v>308</v>
      </c>
      <c r="L305" s="12" t="s">
        <v>259</v>
      </c>
      <c r="M305" s="12" t="s">
        <v>1620</v>
      </c>
      <c r="N305" s="12" t="s">
        <v>1621</v>
      </c>
      <c r="O305" s="12" t="s">
        <v>1615</v>
      </c>
      <c r="P305" s="12"/>
      <c r="Q305" s="12"/>
      <c r="R305" s="12" t="s">
        <v>3250</v>
      </c>
      <c r="S305" s="12"/>
      <c r="T305" s="12" t="s">
        <v>3719</v>
      </c>
    </row>
    <row r="306" spans="1:20" ht="28" x14ac:dyDescent="0.35">
      <c r="A306" s="12" t="s">
        <v>1622</v>
      </c>
      <c r="B306" s="12" t="s">
        <v>1623</v>
      </c>
      <c r="C306" s="12" t="s">
        <v>122</v>
      </c>
      <c r="D306" s="12" t="s">
        <v>33</v>
      </c>
      <c r="E306" s="12"/>
      <c r="F306" s="28" t="s">
        <v>209</v>
      </c>
      <c r="G306" s="28" t="s">
        <v>1626</v>
      </c>
      <c r="H306" s="12" t="s">
        <v>1627</v>
      </c>
      <c r="I306" s="12" t="s">
        <v>61</v>
      </c>
      <c r="J306" s="12" t="s">
        <v>62</v>
      </c>
      <c r="K306" s="12" t="s">
        <v>228</v>
      </c>
      <c r="L306" s="12" t="s">
        <v>198</v>
      </c>
      <c r="M306" s="12" t="s">
        <v>1624</v>
      </c>
      <c r="N306" s="12" t="s">
        <v>1625</v>
      </c>
      <c r="O306" s="12" t="s">
        <v>1615</v>
      </c>
      <c r="P306" s="12"/>
      <c r="Q306" s="12"/>
      <c r="R306" s="12"/>
      <c r="S306" s="12" t="s">
        <v>3720</v>
      </c>
      <c r="T306" s="12" t="s">
        <v>3721</v>
      </c>
    </row>
    <row r="307" spans="1:20" x14ac:dyDescent="0.35">
      <c r="A307" s="12" t="s">
        <v>2497</v>
      </c>
      <c r="B307" s="12" t="s">
        <v>2498</v>
      </c>
      <c r="C307" s="12" t="s">
        <v>122</v>
      </c>
      <c r="D307" s="12" t="s">
        <v>33</v>
      </c>
      <c r="E307" s="12" t="s">
        <v>2414</v>
      </c>
      <c r="F307" s="28" t="s">
        <v>209</v>
      </c>
      <c r="G307" s="28" t="s">
        <v>2501</v>
      </c>
      <c r="H307" s="12" t="s">
        <v>2502</v>
      </c>
      <c r="I307" s="12" t="s">
        <v>53</v>
      </c>
      <c r="J307" s="12" t="s">
        <v>54</v>
      </c>
      <c r="K307" s="12" t="s">
        <v>228</v>
      </c>
      <c r="L307" s="12" t="s">
        <v>198</v>
      </c>
      <c r="M307" s="12" t="s">
        <v>2499</v>
      </c>
      <c r="N307" s="12" t="s">
        <v>2500</v>
      </c>
      <c r="O307" s="12" t="s">
        <v>1615</v>
      </c>
      <c r="P307" s="12" t="s">
        <v>3325</v>
      </c>
      <c r="Q307" s="12" t="s">
        <v>3722</v>
      </c>
      <c r="R307" s="12"/>
      <c r="S307" s="12"/>
      <c r="T307" s="12" t="s">
        <v>3723</v>
      </c>
    </row>
    <row r="308" spans="1:20" ht="28" x14ac:dyDescent="0.35">
      <c r="A308" s="12" t="s">
        <v>2503</v>
      </c>
      <c r="B308" s="12" t="s">
        <v>2504</v>
      </c>
      <c r="C308" s="12" t="s">
        <v>122</v>
      </c>
      <c r="D308" s="12" t="s">
        <v>33</v>
      </c>
      <c r="E308" s="12" t="s">
        <v>2414</v>
      </c>
      <c r="F308" s="28" t="s">
        <v>209</v>
      </c>
      <c r="G308" s="28" t="s">
        <v>2505</v>
      </c>
      <c r="H308" s="12" t="s">
        <v>2506</v>
      </c>
      <c r="I308" s="12" t="s">
        <v>69</v>
      </c>
      <c r="J308" s="12" t="s">
        <v>70</v>
      </c>
      <c r="K308" s="12" t="s">
        <v>228</v>
      </c>
      <c r="L308" s="12" t="s">
        <v>198</v>
      </c>
      <c r="M308" s="12" t="s">
        <v>1624</v>
      </c>
      <c r="N308" s="12" t="s">
        <v>1625</v>
      </c>
      <c r="O308" s="12" t="s">
        <v>1615</v>
      </c>
      <c r="P308" s="12" t="s">
        <v>3325</v>
      </c>
      <c r="Q308" s="12" t="s">
        <v>3724</v>
      </c>
      <c r="R308" s="12"/>
      <c r="S308" s="12" t="s">
        <v>3725</v>
      </c>
      <c r="T308" s="12" t="s">
        <v>3726</v>
      </c>
    </row>
    <row r="309" spans="1:20" x14ac:dyDescent="0.35">
      <c r="A309" s="12" t="s">
        <v>2507</v>
      </c>
      <c r="B309" s="12" t="s">
        <v>2508</v>
      </c>
      <c r="C309" s="12" t="s">
        <v>122</v>
      </c>
      <c r="D309" s="12" t="s">
        <v>33</v>
      </c>
      <c r="E309" s="12" t="s">
        <v>2414</v>
      </c>
      <c r="F309" s="28" t="s">
        <v>209</v>
      </c>
      <c r="G309" s="28" t="s">
        <v>2510</v>
      </c>
      <c r="H309" s="12" t="s">
        <v>2511</v>
      </c>
      <c r="I309" s="12" t="s">
        <v>55</v>
      </c>
      <c r="J309" s="12" t="s">
        <v>56</v>
      </c>
      <c r="K309" s="12" t="s">
        <v>331</v>
      </c>
      <c r="L309" s="12" t="s">
        <v>239</v>
      </c>
      <c r="M309" s="12" t="s">
        <v>2499</v>
      </c>
      <c r="N309" s="12" t="s">
        <v>2509</v>
      </c>
      <c r="O309" s="12" t="s">
        <v>1615</v>
      </c>
      <c r="P309" s="12" t="s">
        <v>3325</v>
      </c>
      <c r="Q309" s="12" t="s">
        <v>3727</v>
      </c>
      <c r="R309" s="12"/>
      <c r="S309" s="12" t="s">
        <v>3728</v>
      </c>
      <c r="T309" s="12" t="s">
        <v>3729</v>
      </c>
    </row>
    <row r="310" spans="1:20" ht="28" x14ac:dyDescent="0.35">
      <c r="A310" s="12" t="s">
        <v>1628</v>
      </c>
      <c r="B310" s="12" t="s">
        <v>1629</v>
      </c>
      <c r="C310" s="12" t="s">
        <v>122</v>
      </c>
      <c r="D310" s="12" t="s">
        <v>33</v>
      </c>
      <c r="E310" s="12"/>
      <c r="F310" s="28" t="s">
        <v>209</v>
      </c>
      <c r="G310" s="28" t="s">
        <v>1633</v>
      </c>
      <c r="H310" s="12" t="s">
        <v>1634</v>
      </c>
      <c r="I310" s="12" t="s">
        <v>57</v>
      </c>
      <c r="J310" s="12" t="s">
        <v>58</v>
      </c>
      <c r="K310" s="12" t="s">
        <v>228</v>
      </c>
      <c r="L310" s="12" t="s">
        <v>198</v>
      </c>
      <c r="M310" s="12" t="s">
        <v>1630</v>
      </c>
      <c r="N310" s="12" t="s">
        <v>1631</v>
      </c>
      <c r="O310" s="12" t="s">
        <v>1632</v>
      </c>
      <c r="P310" s="12"/>
      <c r="Q310" s="12"/>
      <c r="R310" s="12"/>
      <c r="S310" s="12"/>
      <c r="T310" s="12" t="s">
        <v>3538</v>
      </c>
    </row>
    <row r="311" spans="1:20" x14ac:dyDescent="0.35">
      <c r="A311" s="12" t="s">
        <v>1635</v>
      </c>
      <c r="B311" s="12" t="s">
        <v>1636</v>
      </c>
      <c r="C311" s="12" t="s">
        <v>122</v>
      </c>
      <c r="D311" s="12" t="s">
        <v>33</v>
      </c>
      <c r="E311" s="12" t="s">
        <v>2414</v>
      </c>
      <c r="F311" s="28" t="s">
        <v>209</v>
      </c>
      <c r="G311" s="28" t="s">
        <v>1639</v>
      </c>
      <c r="H311" s="12" t="s">
        <v>1640</v>
      </c>
      <c r="I311" s="12" t="s">
        <v>53</v>
      </c>
      <c r="J311" s="12" t="s">
        <v>54</v>
      </c>
      <c r="K311" s="12" t="s">
        <v>228</v>
      </c>
      <c r="L311" s="12" t="s">
        <v>198</v>
      </c>
      <c r="M311" s="12" t="s">
        <v>1637</v>
      </c>
      <c r="N311" s="12" t="s">
        <v>1638</v>
      </c>
      <c r="O311" s="12" t="s">
        <v>1632</v>
      </c>
      <c r="P311" s="12" t="s">
        <v>3325</v>
      </c>
      <c r="Q311" s="24" t="s">
        <v>4162</v>
      </c>
      <c r="R311" s="12"/>
      <c r="S311" s="12"/>
      <c r="T311" s="12" t="s">
        <v>3731</v>
      </c>
    </row>
    <row r="312" spans="1:20" x14ac:dyDescent="0.35">
      <c r="A312" s="12" t="s">
        <v>1641</v>
      </c>
      <c r="B312" s="12" t="s">
        <v>1642</v>
      </c>
      <c r="C312" s="12" t="s">
        <v>122</v>
      </c>
      <c r="D312" s="12" t="s">
        <v>33</v>
      </c>
      <c r="E312" s="12" t="s">
        <v>2414</v>
      </c>
      <c r="F312" s="28" t="s">
        <v>209</v>
      </c>
      <c r="G312" s="28" t="s">
        <v>1643</v>
      </c>
      <c r="H312" s="12" t="s">
        <v>1644</v>
      </c>
      <c r="I312" s="12" t="s">
        <v>53</v>
      </c>
      <c r="J312" s="12" t="s">
        <v>54</v>
      </c>
      <c r="K312" s="12" t="s">
        <v>308</v>
      </c>
      <c r="L312" s="12" t="s">
        <v>259</v>
      </c>
      <c r="M312" s="12" t="s">
        <v>1637</v>
      </c>
      <c r="N312" s="12" t="s">
        <v>1638</v>
      </c>
      <c r="O312" s="12" t="s">
        <v>1632</v>
      </c>
      <c r="P312" s="12" t="s">
        <v>3325</v>
      </c>
      <c r="Q312" s="24" t="s">
        <v>4161</v>
      </c>
      <c r="R312" s="12"/>
      <c r="S312" s="12"/>
      <c r="T312" s="12" t="s">
        <v>3732</v>
      </c>
    </row>
    <row r="313" spans="1:20" ht="56" x14ac:dyDescent="0.35">
      <c r="A313" s="12" t="s">
        <v>1645</v>
      </c>
      <c r="B313" s="12" t="s">
        <v>1646</v>
      </c>
      <c r="C313" s="12" t="s">
        <v>122</v>
      </c>
      <c r="D313" s="12" t="s">
        <v>33</v>
      </c>
      <c r="E313" s="12"/>
      <c r="F313" s="28" t="s">
        <v>202</v>
      </c>
      <c r="G313" s="28" t="s">
        <v>1649</v>
      </c>
      <c r="H313" s="12" t="s">
        <v>204</v>
      </c>
      <c r="I313" s="12" t="s">
        <v>61</v>
      </c>
      <c r="J313" s="12" t="s">
        <v>62</v>
      </c>
      <c r="K313" s="12" t="s">
        <v>331</v>
      </c>
      <c r="L313" s="12" t="s">
        <v>239</v>
      </c>
      <c r="M313" s="12" t="s">
        <v>1647</v>
      </c>
      <c r="N313" s="12" t="s">
        <v>1648</v>
      </c>
      <c r="O313" s="12" t="s">
        <v>1632</v>
      </c>
      <c r="P313" s="12"/>
      <c r="Q313" s="12"/>
      <c r="R313" s="12" t="s">
        <v>3580</v>
      </c>
      <c r="S313" s="12"/>
      <c r="T313" s="12" t="s">
        <v>3733</v>
      </c>
    </row>
    <row r="314" spans="1:20" ht="56" x14ac:dyDescent="0.35">
      <c r="A314" s="12" t="s">
        <v>1650</v>
      </c>
      <c r="B314" s="12" t="s">
        <v>1651</v>
      </c>
      <c r="C314" s="12" t="s">
        <v>122</v>
      </c>
      <c r="D314" s="12" t="s">
        <v>33</v>
      </c>
      <c r="E314" s="12"/>
      <c r="F314" s="28" t="s">
        <v>202</v>
      </c>
      <c r="G314" s="28" t="s">
        <v>1653</v>
      </c>
      <c r="H314" s="12" t="s">
        <v>204</v>
      </c>
      <c r="I314" s="12" t="s">
        <v>57</v>
      </c>
      <c r="J314" s="12" t="s">
        <v>58</v>
      </c>
      <c r="K314" s="12" t="s">
        <v>308</v>
      </c>
      <c r="L314" s="12" t="s">
        <v>259</v>
      </c>
      <c r="M314" s="12" t="s">
        <v>1637</v>
      </c>
      <c r="N314" s="12" t="s">
        <v>1652</v>
      </c>
      <c r="O314" s="12" t="s">
        <v>1632</v>
      </c>
      <c r="P314" s="12"/>
      <c r="Q314" s="12"/>
      <c r="R314" s="12" t="s">
        <v>3266</v>
      </c>
      <c r="S314" s="12"/>
      <c r="T314" s="12" t="s">
        <v>3734</v>
      </c>
    </row>
    <row r="315" spans="1:20" ht="28" x14ac:dyDescent="0.35">
      <c r="A315" s="12" t="s">
        <v>1654</v>
      </c>
      <c r="B315" s="12" t="s">
        <v>1655</v>
      </c>
      <c r="C315" s="12" t="s">
        <v>122</v>
      </c>
      <c r="D315" s="12" t="s">
        <v>33</v>
      </c>
      <c r="E315" s="12"/>
      <c r="F315" s="28" t="s">
        <v>202</v>
      </c>
      <c r="G315" s="28" t="s">
        <v>371</v>
      </c>
      <c r="H315" s="12" t="s">
        <v>204</v>
      </c>
      <c r="I315" s="12" t="s">
        <v>55</v>
      </c>
      <c r="J315" s="12" t="s">
        <v>56</v>
      </c>
      <c r="K315" s="12" t="s">
        <v>308</v>
      </c>
      <c r="L315" s="12" t="s">
        <v>259</v>
      </c>
      <c r="M315" s="12" t="s">
        <v>1656</v>
      </c>
      <c r="N315" s="12" t="s">
        <v>1657</v>
      </c>
      <c r="O315" s="12" t="s">
        <v>1632</v>
      </c>
      <c r="P315" s="12"/>
      <c r="Q315" s="12"/>
      <c r="R315" s="12" t="s">
        <v>3250</v>
      </c>
      <c r="S315" s="12"/>
      <c r="T315" s="12" t="s">
        <v>3735</v>
      </c>
    </row>
    <row r="316" spans="1:20" ht="42" x14ac:dyDescent="0.35">
      <c r="A316" s="12" t="s">
        <v>1658</v>
      </c>
      <c r="B316" s="12" t="s">
        <v>1659</v>
      </c>
      <c r="C316" s="12" t="s">
        <v>122</v>
      </c>
      <c r="D316" s="12" t="s">
        <v>33</v>
      </c>
      <c r="E316" s="12"/>
      <c r="F316" s="28" t="s">
        <v>202</v>
      </c>
      <c r="G316" s="28" t="s">
        <v>1663</v>
      </c>
      <c r="H316" s="12" t="s">
        <v>204</v>
      </c>
      <c r="I316" s="12" t="s">
        <v>55</v>
      </c>
      <c r="J316" s="12" t="s">
        <v>56</v>
      </c>
      <c r="K316" s="12" t="s">
        <v>228</v>
      </c>
      <c r="L316" s="12" t="s">
        <v>198</v>
      </c>
      <c r="M316" s="12" t="s">
        <v>1660</v>
      </c>
      <c r="N316" s="12" t="s">
        <v>1661</v>
      </c>
      <c r="O316" s="12" t="s">
        <v>1662</v>
      </c>
      <c r="P316" s="12"/>
      <c r="Q316" s="12"/>
      <c r="R316" s="12" t="s">
        <v>3250</v>
      </c>
      <c r="S316" s="12"/>
      <c r="T316" s="12" t="s">
        <v>3736</v>
      </c>
    </row>
    <row r="317" spans="1:20" ht="28" x14ac:dyDescent="0.35">
      <c r="A317" s="12" t="s">
        <v>1664</v>
      </c>
      <c r="B317" s="12" t="s">
        <v>1665</v>
      </c>
      <c r="C317" s="12" t="s">
        <v>122</v>
      </c>
      <c r="D317" s="12" t="s">
        <v>33</v>
      </c>
      <c r="E317" s="12"/>
      <c r="F317" s="28" t="s">
        <v>202</v>
      </c>
      <c r="G317" s="28" t="s">
        <v>229</v>
      </c>
      <c r="H317" s="12" t="s">
        <v>204</v>
      </c>
      <c r="I317" s="12" t="s">
        <v>53</v>
      </c>
      <c r="J317" s="12" t="s">
        <v>54</v>
      </c>
      <c r="K317" s="12" t="s">
        <v>308</v>
      </c>
      <c r="L317" s="12" t="s">
        <v>259</v>
      </c>
      <c r="M317" s="12" t="s">
        <v>1666</v>
      </c>
      <c r="N317" s="12" t="s">
        <v>1667</v>
      </c>
      <c r="O317" s="12" t="s">
        <v>1662</v>
      </c>
      <c r="P317" s="12"/>
      <c r="Q317" s="12"/>
      <c r="R317" s="12" t="s">
        <v>3372</v>
      </c>
      <c r="S317" s="12" t="s">
        <v>3737</v>
      </c>
      <c r="T317" s="12" t="s">
        <v>3738</v>
      </c>
    </row>
    <row r="318" spans="1:20" x14ac:dyDescent="0.35">
      <c r="A318" s="12" t="s">
        <v>1668</v>
      </c>
      <c r="B318" s="12" t="s">
        <v>1669</v>
      </c>
      <c r="C318" s="12" t="s">
        <v>122</v>
      </c>
      <c r="D318" s="12" t="s">
        <v>33</v>
      </c>
      <c r="E318" s="12"/>
      <c r="F318" s="28" t="s">
        <v>209</v>
      </c>
      <c r="G318" s="28" t="s">
        <v>1672</v>
      </c>
      <c r="H318" s="12" t="s">
        <v>1673</v>
      </c>
      <c r="I318" s="12" t="s">
        <v>57</v>
      </c>
      <c r="J318" s="12" t="s">
        <v>58</v>
      </c>
      <c r="K318" s="12" t="s">
        <v>308</v>
      </c>
      <c r="L318" s="12" t="s">
        <v>259</v>
      </c>
      <c r="M318" s="12" t="s">
        <v>1670</v>
      </c>
      <c r="N318" s="12" t="s">
        <v>1671</v>
      </c>
      <c r="O318" s="12" t="s">
        <v>1662</v>
      </c>
      <c r="P318" s="12"/>
      <c r="Q318" s="12"/>
      <c r="R318" s="12"/>
      <c r="S318" s="12"/>
      <c r="T318" s="12" t="s">
        <v>3436</v>
      </c>
    </row>
    <row r="319" spans="1:20" ht="28" x14ac:dyDescent="0.35">
      <c r="A319" s="12" t="s">
        <v>1674</v>
      </c>
      <c r="B319" s="12" t="s">
        <v>1675</v>
      </c>
      <c r="C319" s="12" t="s">
        <v>122</v>
      </c>
      <c r="D319" s="12" t="s">
        <v>34</v>
      </c>
      <c r="E319" s="12"/>
      <c r="F319" s="28" t="s">
        <v>202</v>
      </c>
      <c r="G319" s="28" t="s">
        <v>1679</v>
      </c>
      <c r="H319" s="12" t="s">
        <v>204</v>
      </c>
      <c r="I319" s="12" t="s">
        <v>85</v>
      </c>
      <c r="J319" s="12" t="s">
        <v>86</v>
      </c>
      <c r="K319" s="12" t="s">
        <v>308</v>
      </c>
      <c r="L319" s="12" t="s">
        <v>259</v>
      </c>
      <c r="M319" s="12" t="s">
        <v>1676</v>
      </c>
      <c r="N319" s="12" t="s">
        <v>1677</v>
      </c>
      <c r="O319" s="12" t="s">
        <v>1678</v>
      </c>
      <c r="P319" s="12"/>
      <c r="Q319" s="12"/>
      <c r="R319" s="12" t="s">
        <v>3250</v>
      </c>
      <c r="S319" s="12" t="s">
        <v>3739</v>
      </c>
      <c r="T319" s="12" t="s">
        <v>3740</v>
      </c>
    </row>
    <row r="320" spans="1:20" ht="28" x14ac:dyDescent="0.35">
      <c r="A320" s="12" t="s">
        <v>1680</v>
      </c>
      <c r="B320" s="12" t="s">
        <v>1681</v>
      </c>
      <c r="C320" s="12" t="s">
        <v>122</v>
      </c>
      <c r="D320" s="12" t="s">
        <v>33</v>
      </c>
      <c r="E320" s="12"/>
      <c r="F320" s="28" t="s">
        <v>202</v>
      </c>
      <c r="G320" s="28" t="s">
        <v>371</v>
      </c>
      <c r="H320" s="12" t="s">
        <v>204</v>
      </c>
      <c r="I320" s="12" t="s">
        <v>55</v>
      </c>
      <c r="J320" s="12" t="s">
        <v>56</v>
      </c>
      <c r="K320" s="12" t="s">
        <v>331</v>
      </c>
      <c r="L320" s="12" t="s">
        <v>239</v>
      </c>
      <c r="M320" s="12" t="s">
        <v>1682</v>
      </c>
      <c r="N320" s="12" t="s">
        <v>1683</v>
      </c>
      <c r="O320" s="12" t="s">
        <v>1678</v>
      </c>
      <c r="P320" s="12"/>
      <c r="Q320" s="12"/>
      <c r="R320" s="12" t="s">
        <v>3250</v>
      </c>
      <c r="S320" s="12"/>
      <c r="T320" s="12" t="s">
        <v>3741</v>
      </c>
    </row>
    <row r="321" spans="1:20" ht="28" x14ac:dyDescent="0.35">
      <c r="A321" s="12" t="s">
        <v>1684</v>
      </c>
      <c r="B321" s="12" t="s">
        <v>1685</v>
      </c>
      <c r="C321" s="12" t="s">
        <v>122</v>
      </c>
      <c r="D321" s="12" t="s">
        <v>33</v>
      </c>
      <c r="E321" s="12"/>
      <c r="F321" s="28" t="s">
        <v>202</v>
      </c>
      <c r="G321" s="28" t="s">
        <v>414</v>
      </c>
      <c r="H321" s="12" t="s">
        <v>204</v>
      </c>
      <c r="I321" s="12" t="s">
        <v>57</v>
      </c>
      <c r="J321" s="12" t="s">
        <v>58</v>
      </c>
      <c r="K321" s="12" t="s">
        <v>228</v>
      </c>
      <c r="L321" s="12" t="s">
        <v>198</v>
      </c>
      <c r="M321" s="12" t="s">
        <v>1686</v>
      </c>
      <c r="N321" s="12" t="s">
        <v>1687</v>
      </c>
      <c r="O321" s="12" t="s">
        <v>1678</v>
      </c>
      <c r="P321" s="12"/>
      <c r="Q321" s="12"/>
      <c r="R321" s="12" t="s">
        <v>3250</v>
      </c>
      <c r="S321" s="12" t="s">
        <v>3742</v>
      </c>
      <c r="T321" s="12" t="s">
        <v>3743</v>
      </c>
    </row>
    <row r="322" spans="1:20" ht="28" x14ac:dyDescent="0.35">
      <c r="A322" s="12" t="s">
        <v>1688</v>
      </c>
      <c r="B322" s="12" t="s">
        <v>1689</v>
      </c>
      <c r="C322" s="12" t="s">
        <v>122</v>
      </c>
      <c r="D322" s="12" t="s">
        <v>33</v>
      </c>
      <c r="E322" s="12"/>
      <c r="F322" s="28" t="s">
        <v>202</v>
      </c>
      <c r="G322" s="28" t="s">
        <v>313</v>
      </c>
      <c r="H322" s="12" t="s">
        <v>204</v>
      </c>
      <c r="I322" s="12" t="s">
        <v>59</v>
      </c>
      <c r="J322" s="12" t="s">
        <v>60</v>
      </c>
      <c r="K322" s="12" t="s">
        <v>228</v>
      </c>
      <c r="L322" s="12" t="s">
        <v>198</v>
      </c>
      <c r="M322" s="12" t="s">
        <v>1690</v>
      </c>
      <c r="N322" s="12" t="s">
        <v>1691</v>
      </c>
      <c r="O322" s="12" t="s">
        <v>1678</v>
      </c>
      <c r="P322" s="12"/>
      <c r="Q322" s="12"/>
      <c r="R322" s="12" t="s">
        <v>3250</v>
      </c>
      <c r="S322" s="12"/>
      <c r="T322" s="12" t="s">
        <v>3744</v>
      </c>
    </row>
    <row r="323" spans="1:20" ht="28" x14ac:dyDescent="0.35">
      <c r="A323" s="12" t="s">
        <v>1692</v>
      </c>
      <c r="B323" s="12" t="s">
        <v>1693</v>
      </c>
      <c r="C323" s="12" t="s">
        <v>122</v>
      </c>
      <c r="D323" s="12" t="s">
        <v>33</v>
      </c>
      <c r="E323" s="12"/>
      <c r="F323" s="28" t="s">
        <v>209</v>
      </c>
      <c r="G323" s="28" t="s">
        <v>1696</v>
      </c>
      <c r="H323" s="12" t="s">
        <v>1697</v>
      </c>
      <c r="I323" s="12" t="s">
        <v>63</v>
      </c>
      <c r="J323" s="12" t="s">
        <v>64</v>
      </c>
      <c r="K323" s="12" t="s">
        <v>331</v>
      </c>
      <c r="L323" s="12" t="s">
        <v>239</v>
      </c>
      <c r="M323" s="12" t="s">
        <v>1694</v>
      </c>
      <c r="N323" s="12" t="s">
        <v>1695</v>
      </c>
      <c r="O323" s="12" t="s">
        <v>1678</v>
      </c>
      <c r="P323" s="12"/>
      <c r="Q323" s="12"/>
      <c r="R323" s="12"/>
      <c r="S323" s="12"/>
      <c r="T323" s="12" t="s">
        <v>3745</v>
      </c>
    </row>
    <row r="324" spans="1:20" ht="28" x14ac:dyDescent="0.35">
      <c r="A324" s="12" t="s">
        <v>1698</v>
      </c>
      <c r="B324" s="12" t="s">
        <v>1699</v>
      </c>
      <c r="C324" s="12" t="s">
        <v>122</v>
      </c>
      <c r="D324" s="12" t="s">
        <v>33</v>
      </c>
      <c r="E324" s="12"/>
      <c r="F324" s="28" t="s">
        <v>202</v>
      </c>
      <c r="G324" s="28" t="s">
        <v>229</v>
      </c>
      <c r="H324" s="12" t="s">
        <v>204</v>
      </c>
      <c r="I324" s="12" t="s">
        <v>53</v>
      </c>
      <c r="J324" s="12" t="s">
        <v>54</v>
      </c>
      <c r="K324" s="12" t="s">
        <v>228</v>
      </c>
      <c r="L324" s="12" t="s">
        <v>198</v>
      </c>
      <c r="M324" s="12" t="s">
        <v>1700</v>
      </c>
      <c r="N324" s="12" t="s">
        <v>1701</v>
      </c>
      <c r="O324" s="12" t="s">
        <v>1678</v>
      </c>
      <c r="P324" s="12"/>
      <c r="Q324" s="12"/>
      <c r="R324" s="12" t="s">
        <v>3250</v>
      </c>
      <c r="S324" s="12" t="s">
        <v>3746</v>
      </c>
      <c r="T324" s="12" t="s">
        <v>3600</v>
      </c>
    </row>
    <row r="325" spans="1:20" ht="28" x14ac:dyDescent="0.35">
      <c r="A325" s="12" t="s">
        <v>1702</v>
      </c>
      <c r="B325" s="12" t="s">
        <v>1703</v>
      </c>
      <c r="C325" s="12" t="s">
        <v>122</v>
      </c>
      <c r="D325" s="12" t="s">
        <v>33</v>
      </c>
      <c r="E325" s="12"/>
      <c r="F325" s="28" t="s">
        <v>202</v>
      </c>
      <c r="G325" s="28" t="s">
        <v>313</v>
      </c>
      <c r="H325" s="12" t="s">
        <v>204</v>
      </c>
      <c r="I325" s="12" t="s">
        <v>59</v>
      </c>
      <c r="J325" s="12" t="s">
        <v>60</v>
      </c>
      <c r="K325" s="12" t="s">
        <v>331</v>
      </c>
      <c r="L325" s="12" t="s">
        <v>239</v>
      </c>
      <c r="M325" s="12" t="s">
        <v>1704</v>
      </c>
      <c r="N325" s="12" t="s">
        <v>1705</v>
      </c>
      <c r="O325" s="12" t="s">
        <v>1678</v>
      </c>
      <c r="P325" s="12"/>
      <c r="Q325" s="12"/>
      <c r="R325" s="12" t="s">
        <v>3250</v>
      </c>
      <c r="S325" s="12"/>
      <c r="T325" s="12" t="s">
        <v>3747</v>
      </c>
    </row>
    <row r="326" spans="1:20" ht="28" x14ac:dyDescent="0.35">
      <c r="A326" s="12" t="s">
        <v>1706</v>
      </c>
      <c r="B326" s="12" t="s">
        <v>1707</v>
      </c>
      <c r="C326" s="12" t="s">
        <v>122</v>
      </c>
      <c r="D326" s="12" t="s">
        <v>33</v>
      </c>
      <c r="E326" s="12"/>
      <c r="F326" s="28" t="s">
        <v>202</v>
      </c>
      <c r="G326" s="28" t="s">
        <v>318</v>
      </c>
      <c r="H326" s="12" t="s">
        <v>204</v>
      </c>
      <c r="I326" s="12" t="s">
        <v>61</v>
      </c>
      <c r="J326" s="12" t="s">
        <v>62</v>
      </c>
      <c r="K326" s="12" t="s">
        <v>308</v>
      </c>
      <c r="L326" s="12" t="s">
        <v>259</v>
      </c>
      <c r="M326" s="12" t="s">
        <v>1708</v>
      </c>
      <c r="N326" s="12" t="s">
        <v>1709</v>
      </c>
      <c r="O326" s="12" t="s">
        <v>1678</v>
      </c>
      <c r="P326" s="12"/>
      <c r="Q326" s="12"/>
      <c r="R326" s="12" t="s">
        <v>3250</v>
      </c>
      <c r="S326" s="12" t="s">
        <v>3748</v>
      </c>
      <c r="T326" s="12" t="s">
        <v>3749</v>
      </c>
    </row>
    <row r="327" spans="1:20" ht="28" x14ac:dyDescent="0.35">
      <c r="A327" s="12" t="s">
        <v>1710</v>
      </c>
      <c r="B327" s="12" t="s">
        <v>1711</v>
      </c>
      <c r="C327" s="12" t="s">
        <v>122</v>
      </c>
      <c r="D327" s="12" t="s">
        <v>33</v>
      </c>
      <c r="E327" s="12"/>
      <c r="F327" s="28" t="s">
        <v>202</v>
      </c>
      <c r="G327" s="28" t="s">
        <v>371</v>
      </c>
      <c r="H327" s="12" t="s">
        <v>204</v>
      </c>
      <c r="I327" s="12" t="s">
        <v>55</v>
      </c>
      <c r="J327" s="12" t="s">
        <v>56</v>
      </c>
      <c r="K327" s="12" t="s">
        <v>308</v>
      </c>
      <c r="L327" s="12" t="s">
        <v>259</v>
      </c>
      <c r="M327" s="12" t="s">
        <v>1712</v>
      </c>
      <c r="N327" s="12" t="s">
        <v>1713</v>
      </c>
      <c r="O327" s="12" t="s">
        <v>1678</v>
      </c>
      <c r="P327" s="12"/>
      <c r="Q327" s="12"/>
      <c r="R327" s="12" t="s">
        <v>3250</v>
      </c>
      <c r="S327" s="12"/>
      <c r="T327" s="12" t="s">
        <v>3750</v>
      </c>
    </row>
    <row r="328" spans="1:20" ht="28" x14ac:dyDescent="0.35">
      <c r="A328" s="12" t="s">
        <v>1714</v>
      </c>
      <c r="B328" s="12" t="s">
        <v>1715</v>
      </c>
      <c r="C328" s="12" t="s">
        <v>122</v>
      </c>
      <c r="D328" s="12" t="s">
        <v>33</v>
      </c>
      <c r="E328" s="12"/>
      <c r="F328" s="28" t="s">
        <v>202</v>
      </c>
      <c r="G328" s="28" t="s">
        <v>229</v>
      </c>
      <c r="H328" s="12" t="s">
        <v>204</v>
      </c>
      <c r="I328" s="12" t="s">
        <v>53</v>
      </c>
      <c r="J328" s="12" t="s">
        <v>54</v>
      </c>
      <c r="K328" s="12" t="s">
        <v>228</v>
      </c>
      <c r="L328" s="12" t="s">
        <v>198</v>
      </c>
      <c r="M328" s="12" t="s">
        <v>1716</v>
      </c>
      <c r="N328" s="12" t="s">
        <v>1717</v>
      </c>
      <c r="O328" s="12" t="s">
        <v>1678</v>
      </c>
      <c r="P328" s="12"/>
      <c r="Q328" s="12"/>
      <c r="R328" s="12" t="s">
        <v>3250</v>
      </c>
      <c r="S328" s="12"/>
      <c r="T328" s="12" t="s">
        <v>3751</v>
      </c>
    </row>
    <row r="329" spans="1:20" ht="28" x14ac:dyDescent="0.35">
      <c r="A329" s="12" t="s">
        <v>1718</v>
      </c>
      <c r="B329" s="12" t="s">
        <v>1383</v>
      </c>
      <c r="C329" s="12" t="s">
        <v>122</v>
      </c>
      <c r="D329" s="12" t="s">
        <v>33</v>
      </c>
      <c r="E329" s="12"/>
      <c r="F329" s="28" t="s">
        <v>202</v>
      </c>
      <c r="G329" s="28" t="s">
        <v>318</v>
      </c>
      <c r="H329" s="12" t="s">
        <v>204</v>
      </c>
      <c r="I329" s="12" t="s">
        <v>61</v>
      </c>
      <c r="J329" s="12" t="s">
        <v>62</v>
      </c>
      <c r="K329" s="12" t="s">
        <v>228</v>
      </c>
      <c r="L329" s="12" t="s">
        <v>198</v>
      </c>
      <c r="M329" s="12" t="s">
        <v>1719</v>
      </c>
      <c r="N329" s="12" t="s">
        <v>1720</v>
      </c>
      <c r="O329" s="12" t="s">
        <v>1678</v>
      </c>
      <c r="P329" s="12"/>
      <c r="Q329" s="12"/>
      <c r="R329" s="12" t="s">
        <v>3250</v>
      </c>
      <c r="S329" s="12"/>
      <c r="T329" s="12" t="s">
        <v>3752</v>
      </c>
    </row>
    <row r="330" spans="1:20" ht="56" x14ac:dyDescent="0.35">
      <c r="A330" s="12" t="s">
        <v>1721</v>
      </c>
      <c r="B330" s="12" t="s">
        <v>1722</v>
      </c>
      <c r="C330" s="12" t="s">
        <v>122</v>
      </c>
      <c r="D330" s="12" t="s">
        <v>33</v>
      </c>
      <c r="E330" s="12"/>
      <c r="F330" s="28" t="s">
        <v>202</v>
      </c>
      <c r="G330" s="28" t="s">
        <v>1725</v>
      </c>
      <c r="H330" s="12" t="s">
        <v>204</v>
      </c>
      <c r="I330" s="12" t="s">
        <v>53</v>
      </c>
      <c r="J330" s="12" t="s">
        <v>54</v>
      </c>
      <c r="K330" s="12" t="s">
        <v>228</v>
      </c>
      <c r="L330" s="12" t="s">
        <v>198</v>
      </c>
      <c r="M330" s="12" t="s">
        <v>1723</v>
      </c>
      <c r="N330" s="12" t="s">
        <v>1724</v>
      </c>
      <c r="O330" s="12" t="s">
        <v>1678</v>
      </c>
      <c r="P330" s="12"/>
      <c r="Q330" s="12"/>
      <c r="R330" s="12" t="s">
        <v>3250</v>
      </c>
      <c r="S330" s="12"/>
      <c r="T330" s="12" t="s">
        <v>3753</v>
      </c>
    </row>
    <row r="331" spans="1:20" ht="28" x14ac:dyDescent="0.35">
      <c r="A331" s="12" t="s">
        <v>1726</v>
      </c>
      <c r="B331" s="12" t="s">
        <v>1727</v>
      </c>
      <c r="C331" s="12" t="s">
        <v>122</v>
      </c>
      <c r="D331" s="12" t="s">
        <v>33</v>
      </c>
      <c r="E331" s="12"/>
      <c r="F331" s="28" t="s">
        <v>209</v>
      </c>
      <c r="G331" s="28" t="s">
        <v>1728</v>
      </c>
      <c r="H331" s="12" t="s">
        <v>1729</v>
      </c>
      <c r="I331" s="12" t="s">
        <v>55</v>
      </c>
      <c r="J331" s="12" t="s">
        <v>56</v>
      </c>
      <c r="K331" s="12" t="s">
        <v>228</v>
      </c>
      <c r="L331" s="12" t="s">
        <v>198</v>
      </c>
      <c r="M331" s="12" t="s">
        <v>1716</v>
      </c>
      <c r="N331" s="12" t="s">
        <v>1717</v>
      </c>
      <c r="O331" s="12" t="s">
        <v>1678</v>
      </c>
      <c r="P331" s="12"/>
      <c r="Q331" s="12"/>
      <c r="R331" s="12"/>
      <c r="S331" s="12" t="s">
        <v>3754</v>
      </c>
      <c r="T331" s="12" t="s">
        <v>3380</v>
      </c>
    </row>
    <row r="332" spans="1:20" ht="42" x14ac:dyDescent="0.35">
      <c r="A332" s="12" t="s">
        <v>1730</v>
      </c>
      <c r="B332" s="12" t="s">
        <v>1731</v>
      </c>
      <c r="C332" s="12" t="s">
        <v>122</v>
      </c>
      <c r="D332" s="12" t="s">
        <v>33</v>
      </c>
      <c r="E332" s="12"/>
      <c r="F332" s="28" t="s">
        <v>202</v>
      </c>
      <c r="G332" s="28" t="s">
        <v>1732</v>
      </c>
      <c r="H332" s="12" t="s">
        <v>204</v>
      </c>
      <c r="I332" s="12" t="s">
        <v>67</v>
      </c>
      <c r="J332" s="12" t="s">
        <v>68</v>
      </c>
      <c r="K332" s="12" t="s">
        <v>308</v>
      </c>
      <c r="L332" s="12" t="s">
        <v>259</v>
      </c>
      <c r="M332" s="12" t="s">
        <v>1704</v>
      </c>
      <c r="N332" s="12" t="s">
        <v>1705</v>
      </c>
      <c r="O332" s="12" t="s">
        <v>1678</v>
      </c>
      <c r="P332" s="12"/>
      <c r="Q332" s="12"/>
      <c r="R332" s="12" t="s">
        <v>3250</v>
      </c>
      <c r="S332" s="12"/>
      <c r="T332" s="12" t="s">
        <v>3755</v>
      </c>
    </row>
    <row r="333" spans="1:20" x14ac:dyDescent="0.35">
      <c r="A333" s="12" t="s">
        <v>1733</v>
      </c>
      <c r="B333" s="12" t="s">
        <v>1734</v>
      </c>
      <c r="C333" s="12" t="s">
        <v>122</v>
      </c>
      <c r="D333" s="12" t="s">
        <v>33</v>
      </c>
      <c r="E333" s="12"/>
      <c r="F333" s="28" t="s">
        <v>209</v>
      </c>
      <c r="G333" s="28" t="s">
        <v>1735</v>
      </c>
      <c r="H333" s="12" t="s">
        <v>1736</v>
      </c>
      <c r="I333" s="12" t="s">
        <v>57</v>
      </c>
      <c r="J333" s="12" t="s">
        <v>58</v>
      </c>
      <c r="K333" s="12" t="s">
        <v>228</v>
      </c>
      <c r="L333" s="12" t="s">
        <v>198</v>
      </c>
      <c r="M333" s="12" t="s">
        <v>1723</v>
      </c>
      <c r="N333" s="12" t="s">
        <v>1724</v>
      </c>
      <c r="O333" s="12" t="s">
        <v>1678</v>
      </c>
      <c r="P333" s="12"/>
      <c r="Q333" s="12"/>
      <c r="R333" s="12"/>
      <c r="S333" s="12"/>
      <c r="T333" s="12" t="s">
        <v>3756</v>
      </c>
    </row>
    <row r="334" spans="1:20" ht="28" x14ac:dyDescent="0.35">
      <c r="A334" s="12" t="s">
        <v>1737</v>
      </c>
      <c r="B334" s="12" t="s">
        <v>1738</v>
      </c>
      <c r="C334" s="12" t="s">
        <v>122</v>
      </c>
      <c r="D334" s="12" t="s">
        <v>33</v>
      </c>
      <c r="E334" s="12"/>
      <c r="F334" s="28" t="s">
        <v>202</v>
      </c>
      <c r="G334" s="28" t="s">
        <v>468</v>
      </c>
      <c r="H334" s="12" t="s">
        <v>204</v>
      </c>
      <c r="I334" s="12" t="s">
        <v>65</v>
      </c>
      <c r="J334" s="12" t="s">
        <v>66</v>
      </c>
      <c r="K334" s="12" t="s">
        <v>228</v>
      </c>
      <c r="L334" s="12" t="s">
        <v>198</v>
      </c>
      <c r="M334" s="12" t="s">
        <v>1739</v>
      </c>
      <c r="N334" s="12" t="s">
        <v>1740</v>
      </c>
      <c r="O334" s="12" t="s">
        <v>1678</v>
      </c>
      <c r="P334" s="12"/>
      <c r="Q334" s="12"/>
      <c r="R334" s="12" t="s">
        <v>3250</v>
      </c>
      <c r="S334" s="12" t="s">
        <v>3757</v>
      </c>
      <c r="T334" s="12" t="s">
        <v>3758</v>
      </c>
    </row>
    <row r="335" spans="1:20" ht="28" x14ac:dyDescent="0.35">
      <c r="A335" s="12" t="s">
        <v>1741</v>
      </c>
      <c r="B335" s="12" t="s">
        <v>1742</v>
      </c>
      <c r="C335" s="12" t="s">
        <v>122</v>
      </c>
      <c r="D335" s="12" t="s">
        <v>33</v>
      </c>
      <c r="E335" s="12"/>
      <c r="F335" s="28" t="s">
        <v>202</v>
      </c>
      <c r="G335" s="28" t="s">
        <v>318</v>
      </c>
      <c r="H335" s="12" t="s">
        <v>204</v>
      </c>
      <c r="I335" s="12" t="s">
        <v>61</v>
      </c>
      <c r="J335" s="12" t="s">
        <v>62</v>
      </c>
      <c r="K335" s="12" t="s">
        <v>308</v>
      </c>
      <c r="L335" s="12" t="s">
        <v>259</v>
      </c>
      <c r="M335" s="12" t="s">
        <v>1712</v>
      </c>
      <c r="N335" s="12" t="s">
        <v>1713</v>
      </c>
      <c r="O335" s="12" t="s">
        <v>1678</v>
      </c>
      <c r="P335" s="12"/>
      <c r="Q335" s="12"/>
      <c r="R335" s="12" t="s">
        <v>3250</v>
      </c>
      <c r="S335" s="12" t="s">
        <v>3759</v>
      </c>
      <c r="T335" s="12" t="s">
        <v>3760</v>
      </c>
    </row>
    <row r="336" spans="1:20" ht="56" x14ac:dyDescent="0.35">
      <c r="A336" s="12" t="s">
        <v>1743</v>
      </c>
      <c r="B336" s="12" t="s">
        <v>1744</v>
      </c>
      <c r="C336" s="12" t="s">
        <v>122</v>
      </c>
      <c r="D336" s="12" t="s">
        <v>33</v>
      </c>
      <c r="E336" s="12"/>
      <c r="F336" s="28" t="s">
        <v>202</v>
      </c>
      <c r="G336" s="28" t="s">
        <v>1748</v>
      </c>
      <c r="H336" s="12" t="s">
        <v>204</v>
      </c>
      <c r="I336" s="12" t="s">
        <v>55</v>
      </c>
      <c r="J336" s="12" t="s">
        <v>56</v>
      </c>
      <c r="K336" s="12" t="s">
        <v>308</v>
      </c>
      <c r="L336" s="12" t="s">
        <v>259</v>
      </c>
      <c r="M336" s="12" t="s">
        <v>1745</v>
      </c>
      <c r="N336" s="12" t="s">
        <v>1746</v>
      </c>
      <c r="O336" s="12" t="s">
        <v>1747</v>
      </c>
      <c r="P336" s="12"/>
      <c r="Q336" s="12"/>
      <c r="R336" s="12" t="s">
        <v>3250</v>
      </c>
      <c r="S336" s="12"/>
      <c r="T336" s="12" t="s">
        <v>3761</v>
      </c>
    </row>
    <row r="337" spans="1:20" ht="28.5" x14ac:dyDescent="0.35">
      <c r="A337" s="12" t="s">
        <v>2512</v>
      </c>
      <c r="B337" s="18" t="s">
        <v>2513</v>
      </c>
      <c r="C337" s="12" t="s">
        <v>122</v>
      </c>
      <c r="D337" s="12" t="s">
        <v>33</v>
      </c>
      <c r="E337" s="12" t="s">
        <v>2414</v>
      </c>
      <c r="F337" s="28" t="s">
        <v>209</v>
      </c>
      <c r="G337" s="28" t="s">
        <v>2516</v>
      </c>
      <c r="H337" s="12" t="s">
        <v>2517</v>
      </c>
      <c r="I337" s="12" t="s">
        <v>55</v>
      </c>
      <c r="J337" s="12" t="s">
        <v>56</v>
      </c>
      <c r="K337" s="12" t="s">
        <v>228</v>
      </c>
      <c r="L337" s="12" t="s">
        <v>198</v>
      </c>
      <c r="M337" s="12" t="s">
        <v>2514</v>
      </c>
      <c r="N337" s="12" t="s">
        <v>2515</v>
      </c>
      <c r="O337" s="12" t="s">
        <v>1747</v>
      </c>
      <c r="P337" s="22" t="s">
        <v>4154</v>
      </c>
      <c r="Q337" s="24" t="s">
        <v>4159</v>
      </c>
      <c r="R337" s="18"/>
      <c r="S337" s="12"/>
      <c r="T337" s="12" t="s">
        <v>3762</v>
      </c>
    </row>
    <row r="338" spans="1:20" x14ac:dyDescent="0.35">
      <c r="A338" s="12" t="s">
        <v>1749</v>
      </c>
      <c r="B338" s="12" t="s">
        <v>1750</v>
      </c>
      <c r="C338" s="12" t="s">
        <v>122</v>
      </c>
      <c r="D338" s="12" t="s">
        <v>33</v>
      </c>
      <c r="E338" s="12"/>
      <c r="F338" s="28" t="s">
        <v>209</v>
      </c>
      <c r="G338" s="28" t="s">
        <v>1754</v>
      </c>
      <c r="H338" s="12" t="s">
        <v>1755</v>
      </c>
      <c r="I338" s="12" t="s">
        <v>53</v>
      </c>
      <c r="J338" s="12" t="s">
        <v>54</v>
      </c>
      <c r="K338" s="12" t="s">
        <v>228</v>
      </c>
      <c r="L338" s="12" t="s">
        <v>198</v>
      </c>
      <c r="M338" s="12" t="s">
        <v>1751</v>
      </c>
      <c r="N338" s="12" t="s">
        <v>1752</v>
      </c>
      <c r="O338" s="12" t="s">
        <v>1753</v>
      </c>
      <c r="P338" s="12"/>
      <c r="Q338" s="12"/>
      <c r="R338" s="12"/>
      <c r="S338" s="12"/>
      <c r="T338" s="12" t="s">
        <v>3644</v>
      </c>
    </row>
    <row r="339" spans="1:20" ht="56" x14ac:dyDescent="0.35">
      <c r="A339" s="12" t="s">
        <v>1756</v>
      </c>
      <c r="B339" s="12" t="s">
        <v>1757</v>
      </c>
      <c r="C339" s="12" t="s">
        <v>122</v>
      </c>
      <c r="D339" s="12" t="s">
        <v>33</v>
      </c>
      <c r="E339" s="12"/>
      <c r="F339" s="28" t="s">
        <v>202</v>
      </c>
      <c r="G339" s="28" t="s">
        <v>1761</v>
      </c>
      <c r="H339" s="12" t="s">
        <v>204</v>
      </c>
      <c r="I339" s="12" t="s">
        <v>57</v>
      </c>
      <c r="J339" s="12" t="s">
        <v>58</v>
      </c>
      <c r="K339" s="12" t="s">
        <v>228</v>
      </c>
      <c r="L339" s="12" t="s">
        <v>198</v>
      </c>
      <c r="M339" s="12" t="s">
        <v>1758</v>
      </c>
      <c r="N339" s="12" t="s">
        <v>1759</v>
      </c>
      <c r="O339" s="12" t="s">
        <v>1760</v>
      </c>
      <c r="P339" s="12"/>
      <c r="Q339" s="12"/>
      <c r="R339" s="12" t="s">
        <v>3250</v>
      </c>
      <c r="S339" s="12"/>
      <c r="T339" s="12" t="s">
        <v>3587</v>
      </c>
    </row>
    <row r="340" spans="1:20" ht="70" x14ac:dyDescent="0.35">
      <c r="A340" s="12" t="s">
        <v>1762</v>
      </c>
      <c r="B340" s="12" t="s">
        <v>1763</v>
      </c>
      <c r="C340" s="12" t="s">
        <v>122</v>
      </c>
      <c r="D340" s="12" t="s">
        <v>33</v>
      </c>
      <c r="E340" s="12"/>
      <c r="F340" s="28" t="s">
        <v>202</v>
      </c>
      <c r="G340" s="28" t="s">
        <v>1766</v>
      </c>
      <c r="H340" s="12" t="s">
        <v>204</v>
      </c>
      <c r="I340" s="12" t="s">
        <v>53</v>
      </c>
      <c r="J340" s="12" t="s">
        <v>54</v>
      </c>
      <c r="K340" s="12" t="s">
        <v>228</v>
      </c>
      <c r="L340" s="12" t="s">
        <v>198</v>
      </c>
      <c r="M340" s="12" t="s">
        <v>1764</v>
      </c>
      <c r="N340" s="12" t="s">
        <v>1765</v>
      </c>
      <c r="O340" s="12" t="s">
        <v>1760</v>
      </c>
      <c r="P340" s="12"/>
      <c r="Q340" s="12"/>
      <c r="R340" s="12" t="s">
        <v>3250</v>
      </c>
      <c r="S340" s="12" t="s">
        <v>3763</v>
      </c>
      <c r="T340" s="12" t="s">
        <v>3764</v>
      </c>
    </row>
    <row r="341" spans="1:20" x14ac:dyDescent="0.35">
      <c r="A341" s="12" t="s">
        <v>1767</v>
      </c>
      <c r="B341" s="12" t="s">
        <v>1768</v>
      </c>
      <c r="C341" s="12" t="s">
        <v>122</v>
      </c>
      <c r="D341" s="12" t="s">
        <v>33</v>
      </c>
      <c r="E341" s="12"/>
      <c r="F341" s="28" t="s">
        <v>209</v>
      </c>
      <c r="G341" s="28" t="s">
        <v>1771</v>
      </c>
      <c r="H341" s="12" t="s">
        <v>1772</v>
      </c>
      <c r="I341" s="12" t="s">
        <v>59</v>
      </c>
      <c r="J341" s="12" t="s">
        <v>60</v>
      </c>
      <c r="K341" s="12" t="s">
        <v>228</v>
      </c>
      <c r="L341" s="12" t="s">
        <v>198</v>
      </c>
      <c r="M341" s="12" t="s">
        <v>1769</v>
      </c>
      <c r="N341" s="12" t="s">
        <v>1770</v>
      </c>
      <c r="O341" s="12" t="s">
        <v>1760</v>
      </c>
      <c r="P341" s="12"/>
      <c r="Q341" s="12"/>
      <c r="R341" s="12"/>
      <c r="S341" s="12" t="s">
        <v>3765</v>
      </c>
      <c r="T341" s="12" t="s">
        <v>3766</v>
      </c>
    </row>
    <row r="342" spans="1:20" ht="28" x14ac:dyDescent="0.35">
      <c r="A342" s="12" t="s">
        <v>1773</v>
      </c>
      <c r="B342" s="12" t="s">
        <v>1774</v>
      </c>
      <c r="C342" s="12" t="s">
        <v>122</v>
      </c>
      <c r="D342" s="12" t="s">
        <v>33</v>
      </c>
      <c r="E342" s="12"/>
      <c r="F342" s="28" t="s">
        <v>202</v>
      </c>
      <c r="G342" s="28" t="s">
        <v>229</v>
      </c>
      <c r="H342" s="12" t="s">
        <v>204</v>
      </c>
      <c r="I342" s="12" t="s">
        <v>53</v>
      </c>
      <c r="J342" s="12" t="s">
        <v>54</v>
      </c>
      <c r="K342" s="12" t="s">
        <v>228</v>
      </c>
      <c r="L342" s="12" t="s">
        <v>198</v>
      </c>
      <c r="M342" s="12" t="s">
        <v>1775</v>
      </c>
      <c r="N342" s="12" t="s">
        <v>1776</v>
      </c>
      <c r="O342" s="12" t="s">
        <v>1760</v>
      </c>
      <c r="P342" s="12"/>
      <c r="Q342" s="12"/>
      <c r="R342" s="12" t="s">
        <v>3250</v>
      </c>
      <c r="S342" s="12"/>
      <c r="T342" s="12" t="s">
        <v>3767</v>
      </c>
    </row>
    <row r="343" spans="1:20" ht="28" x14ac:dyDescent="0.35">
      <c r="A343" s="12" t="s">
        <v>1777</v>
      </c>
      <c r="B343" s="12" t="s">
        <v>1778</v>
      </c>
      <c r="C343" s="12" t="s">
        <v>122</v>
      </c>
      <c r="D343" s="12" t="s">
        <v>33</v>
      </c>
      <c r="E343" s="12"/>
      <c r="F343" s="28" t="s">
        <v>209</v>
      </c>
      <c r="G343" s="28" t="s">
        <v>1782</v>
      </c>
      <c r="H343" s="12" t="s">
        <v>1783</v>
      </c>
      <c r="I343" s="12" t="s">
        <v>55</v>
      </c>
      <c r="J343" s="12" t="s">
        <v>56</v>
      </c>
      <c r="K343" s="12" t="s">
        <v>308</v>
      </c>
      <c r="L343" s="12" t="s">
        <v>259</v>
      </c>
      <c r="M343" s="12" t="s">
        <v>1779</v>
      </c>
      <c r="N343" s="12" t="s">
        <v>1780</v>
      </c>
      <c r="O343" s="12" t="s">
        <v>1781</v>
      </c>
      <c r="P343" s="12"/>
      <c r="Q343" s="12"/>
      <c r="R343" s="12"/>
      <c r="S343" s="12" t="s">
        <v>3768</v>
      </c>
      <c r="T343" s="12" t="s">
        <v>3769</v>
      </c>
    </row>
    <row r="344" spans="1:20" x14ac:dyDescent="0.35">
      <c r="A344" s="26" t="s">
        <v>1784</v>
      </c>
      <c r="B344" s="12" t="s">
        <v>1785</v>
      </c>
      <c r="C344" s="12" t="s">
        <v>122</v>
      </c>
      <c r="D344" s="12" t="s">
        <v>33</v>
      </c>
      <c r="E344" s="12"/>
      <c r="F344" s="28" t="s">
        <v>209</v>
      </c>
      <c r="G344" s="28" t="s">
        <v>1788</v>
      </c>
      <c r="H344" s="12" t="s">
        <v>1789</v>
      </c>
      <c r="I344" s="12" t="s">
        <v>53</v>
      </c>
      <c r="J344" s="12" t="s">
        <v>54</v>
      </c>
      <c r="K344" s="12" t="s">
        <v>228</v>
      </c>
      <c r="L344" s="12" t="s">
        <v>198</v>
      </c>
      <c r="M344" s="12" t="s">
        <v>1786</v>
      </c>
      <c r="N344" s="12" t="s">
        <v>1787</v>
      </c>
      <c r="O344" s="12" t="s">
        <v>1781</v>
      </c>
      <c r="P344" s="12" t="s">
        <v>3654</v>
      </c>
      <c r="Q344" s="21" t="s">
        <v>3770</v>
      </c>
      <c r="R344" s="18"/>
      <c r="S344" s="12" t="s">
        <v>3771</v>
      </c>
      <c r="T344" s="12" t="s">
        <v>3397</v>
      </c>
    </row>
    <row r="345" spans="1:20" x14ac:dyDescent="0.35">
      <c r="A345" s="12" t="s">
        <v>1790</v>
      </c>
      <c r="B345" s="12" t="s">
        <v>1791</v>
      </c>
      <c r="C345" s="12" t="s">
        <v>122</v>
      </c>
      <c r="D345" s="12" t="s">
        <v>33</v>
      </c>
      <c r="E345" s="12"/>
      <c r="F345" s="28" t="s">
        <v>209</v>
      </c>
      <c r="G345" s="28" t="s">
        <v>1794</v>
      </c>
      <c r="H345" s="12" t="s">
        <v>1795</v>
      </c>
      <c r="I345" s="12" t="s">
        <v>53</v>
      </c>
      <c r="J345" s="12" t="s">
        <v>54</v>
      </c>
      <c r="K345" s="12" t="s">
        <v>228</v>
      </c>
      <c r="L345" s="12" t="s">
        <v>198</v>
      </c>
      <c r="M345" s="12" t="s">
        <v>1792</v>
      </c>
      <c r="N345" s="12" t="s">
        <v>1793</v>
      </c>
      <c r="O345" s="12" t="s">
        <v>1781</v>
      </c>
      <c r="P345" s="12"/>
      <c r="Q345" s="12"/>
      <c r="R345" s="12"/>
      <c r="S345" s="12" t="s">
        <v>3772</v>
      </c>
      <c r="T345" s="12" t="s">
        <v>3497</v>
      </c>
    </row>
    <row r="346" spans="1:20" x14ac:dyDescent="0.35">
      <c r="A346" s="12" t="s">
        <v>1796</v>
      </c>
      <c r="B346" s="12" t="s">
        <v>1797</v>
      </c>
      <c r="C346" s="12" t="s">
        <v>122</v>
      </c>
      <c r="D346" s="12" t="s">
        <v>33</v>
      </c>
      <c r="E346" s="12"/>
      <c r="F346" s="28" t="s">
        <v>209</v>
      </c>
      <c r="G346" s="28" t="s">
        <v>1801</v>
      </c>
      <c r="H346" s="12" t="s">
        <v>1802</v>
      </c>
      <c r="I346" s="12" t="s">
        <v>73</v>
      </c>
      <c r="J346" s="12" t="s">
        <v>74</v>
      </c>
      <c r="K346" s="12" t="s">
        <v>308</v>
      </c>
      <c r="L346" s="12" t="s">
        <v>259</v>
      </c>
      <c r="M346" s="12" t="s">
        <v>1798</v>
      </c>
      <c r="N346" s="12" t="s">
        <v>1799</v>
      </c>
      <c r="O346" s="12" t="s">
        <v>1800</v>
      </c>
      <c r="P346" s="12"/>
      <c r="Q346" s="12"/>
      <c r="R346" s="12"/>
      <c r="S346" s="12" t="s">
        <v>3773</v>
      </c>
      <c r="T346" s="12" t="s">
        <v>3774</v>
      </c>
    </row>
    <row r="347" spans="1:20" ht="28" x14ac:dyDescent="0.35">
      <c r="A347" s="12" t="s">
        <v>1803</v>
      </c>
      <c r="B347" s="12" t="s">
        <v>1804</v>
      </c>
      <c r="C347" s="12" t="s">
        <v>122</v>
      </c>
      <c r="D347" s="12" t="s">
        <v>38</v>
      </c>
      <c r="E347" s="12"/>
      <c r="F347" s="28" t="s">
        <v>209</v>
      </c>
      <c r="G347" s="28" t="s">
        <v>1806</v>
      </c>
      <c r="H347" s="12" t="s">
        <v>1807</v>
      </c>
      <c r="I347" s="12" t="s">
        <v>95</v>
      </c>
      <c r="J347" s="12" t="s">
        <v>96</v>
      </c>
      <c r="K347" s="12" t="s">
        <v>331</v>
      </c>
      <c r="L347" s="12" t="s">
        <v>239</v>
      </c>
      <c r="M347" s="12" t="s">
        <v>1798</v>
      </c>
      <c r="N347" s="12" t="s">
        <v>1805</v>
      </c>
      <c r="O347" s="12" t="s">
        <v>1800</v>
      </c>
      <c r="P347" s="12"/>
      <c r="Q347" s="12"/>
      <c r="R347" s="12"/>
      <c r="S347" s="12" t="s">
        <v>3775</v>
      </c>
      <c r="T347" s="12" t="s">
        <v>3776</v>
      </c>
    </row>
    <row r="348" spans="1:20" x14ac:dyDescent="0.35">
      <c r="A348" s="12" t="s">
        <v>1808</v>
      </c>
      <c r="B348" s="12" t="s">
        <v>1809</v>
      </c>
      <c r="C348" s="12" t="s">
        <v>122</v>
      </c>
      <c r="D348" s="12" t="s">
        <v>36</v>
      </c>
      <c r="E348" s="12"/>
      <c r="F348" s="28" t="s">
        <v>209</v>
      </c>
      <c r="G348" s="28" t="s">
        <v>1811</v>
      </c>
      <c r="H348" s="12" t="s">
        <v>1812</v>
      </c>
      <c r="I348" s="12" t="s">
        <v>71</v>
      </c>
      <c r="J348" s="12" t="s">
        <v>72</v>
      </c>
      <c r="K348" s="12" t="s">
        <v>228</v>
      </c>
      <c r="L348" s="12" t="s">
        <v>198</v>
      </c>
      <c r="M348" s="12" t="s">
        <v>1798</v>
      </c>
      <c r="N348" s="12" t="s">
        <v>1810</v>
      </c>
      <c r="O348" s="12" t="s">
        <v>1800</v>
      </c>
      <c r="P348" s="12"/>
      <c r="Q348" s="12"/>
      <c r="R348" s="12"/>
      <c r="S348" s="12" t="s">
        <v>3777</v>
      </c>
      <c r="T348" s="12" t="s">
        <v>3778</v>
      </c>
    </row>
    <row r="349" spans="1:20" ht="28" x14ac:dyDescent="0.35">
      <c r="A349" s="12" t="s">
        <v>1813</v>
      </c>
      <c r="B349" s="12" t="s">
        <v>1814</v>
      </c>
      <c r="C349" s="12" t="s">
        <v>122</v>
      </c>
      <c r="D349" s="12" t="s">
        <v>33</v>
      </c>
      <c r="E349" s="12"/>
      <c r="F349" s="28" t="s">
        <v>216</v>
      </c>
      <c r="G349" s="28" t="s">
        <v>1816</v>
      </c>
      <c r="H349" s="12" t="s">
        <v>1817</v>
      </c>
      <c r="I349" s="12" t="s">
        <v>71</v>
      </c>
      <c r="J349" s="12" t="s">
        <v>72</v>
      </c>
      <c r="K349" s="12" t="s">
        <v>331</v>
      </c>
      <c r="L349" s="12" t="s">
        <v>239</v>
      </c>
      <c r="M349" s="12" t="s">
        <v>1798</v>
      </c>
      <c r="N349" s="12" t="s">
        <v>1815</v>
      </c>
      <c r="O349" s="12" t="s">
        <v>1800</v>
      </c>
      <c r="P349" s="12"/>
      <c r="Q349" s="12"/>
      <c r="R349" s="12"/>
      <c r="S349" s="12" t="s">
        <v>3779</v>
      </c>
      <c r="T349" s="12" t="s">
        <v>3780</v>
      </c>
    </row>
    <row r="350" spans="1:20" ht="42" x14ac:dyDescent="0.35">
      <c r="A350" s="12" t="s">
        <v>2518</v>
      </c>
      <c r="B350" s="12" t="s">
        <v>2519</v>
      </c>
      <c r="C350" s="12" t="s">
        <v>122</v>
      </c>
      <c r="D350" s="12" t="s">
        <v>33</v>
      </c>
      <c r="E350" s="12" t="s">
        <v>2414</v>
      </c>
      <c r="F350" s="28" t="s">
        <v>694</v>
      </c>
      <c r="G350" s="28" t="s">
        <v>2520</v>
      </c>
      <c r="H350" s="12" t="s">
        <v>2521</v>
      </c>
      <c r="I350" s="12" t="s">
        <v>55</v>
      </c>
      <c r="J350" s="12" t="s">
        <v>56</v>
      </c>
      <c r="K350" s="12" t="s">
        <v>228</v>
      </c>
      <c r="L350" s="12" t="s">
        <v>198</v>
      </c>
      <c r="M350" s="12" t="s">
        <v>1798</v>
      </c>
      <c r="N350" s="12" t="s">
        <v>1815</v>
      </c>
      <c r="O350" s="12" t="s">
        <v>1800</v>
      </c>
      <c r="P350" s="12" t="s">
        <v>3325</v>
      </c>
      <c r="Q350" s="12" t="s">
        <v>3781</v>
      </c>
      <c r="R350" s="12"/>
      <c r="S350" s="12" t="s">
        <v>3782</v>
      </c>
      <c r="T350" s="12" t="s">
        <v>3783</v>
      </c>
    </row>
    <row r="351" spans="1:20" ht="28" x14ac:dyDescent="0.35">
      <c r="A351" s="12" t="s">
        <v>1818</v>
      </c>
      <c r="B351" s="12" t="s">
        <v>1819</v>
      </c>
      <c r="C351" s="12" t="s">
        <v>122</v>
      </c>
      <c r="D351" s="12" t="s">
        <v>33</v>
      </c>
      <c r="E351" s="12"/>
      <c r="F351" s="28" t="s">
        <v>202</v>
      </c>
      <c r="G351" s="28" t="s">
        <v>1820</v>
      </c>
      <c r="H351" s="12" t="s">
        <v>204</v>
      </c>
      <c r="I351" s="12" t="s">
        <v>73</v>
      </c>
      <c r="J351" s="12" t="s">
        <v>74</v>
      </c>
      <c r="K351" s="12" t="s">
        <v>228</v>
      </c>
      <c r="L351" s="12" t="s">
        <v>198</v>
      </c>
      <c r="M351" s="12" t="s">
        <v>1798</v>
      </c>
      <c r="N351" s="12" t="s">
        <v>1799</v>
      </c>
      <c r="O351" s="12" t="s">
        <v>1800</v>
      </c>
      <c r="P351" s="12"/>
      <c r="Q351" s="12"/>
      <c r="R351" s="12" t="s">
        <v>3250</v>
      </c>
      <c r="S351" s="12"/>
      <c r="T351" s="12" t="s">
        <v>3784</v>
      </c>
    </row>
    <row r="352" spans="1:20" ht="56" x14ac:dyDescent="0.35">
      <c r="A352" s="12" t="s">
        <v>1821</v>
      </c>
      <c r="B352" s="12" t="s">
        <v>1822</v>
      </c>
      <c r="C352" s="12" t="s">
        <v>122</v>
      </c>
      <c r="D352" s="12" t="s">
        <v>33</v>
      </c>
      <c r="E352" s="12"/>
      <c r="F352" s="28" t="s">
        <v>216</v>
      </c>
      <c r="G352" s="28" t="s">
        <v>1823</v>
      </c>
      <c r="H352" s="12" t="s">
        <v>1824</v>
      </c>
      <c r="I352" s="12" t="s">
        <v>71</v>
      </c>
      <c r="J352" s="12" t="s">
        <v>72</v>
      </c>
      <c r="K352" s="12" t="s">
        <v>430</v>
      </c>
      <c r="L352" s="12" t="s">
        <v>386</v>
      </c>
      <c r="M352" s="12" t="s">
        <v>1798</v>
      </c>
      <c r="N352" s="12" t="s">
        <v>1799</v>
      </c>
      <c r="O352" s="12" t="s">
        <v>1800</v>
      </c>
      <c r="P352" s="12"/>
      <c r="Q352" s="12"/>
      <c r="R352" s="12"/>
      <c r="S352" s="12" t="s">
        <v>3785</v>
      </c>
      <c r="T352" s="12" t="s">
        <v>3786</v>
      </c>
    </row>
    <row r="353" spans="1:20" ht="28" x14ac:dyDescent="0.35">
      <c r="A353" s="12" t="s">
        <v>1825</v>
      </c>
      <c r="B353" s="12" t="s">
        <v>1826</v>
      </c>
      <c r="C353" s="12" t="s">
        <v>122</v>
      </c>
      <c r="D353" s="12" t="s">
        <v>34</v>
      </c>
      <c r="E353" s="12"/>
      <c r="F353" s="28" t="s">
        <v>216</v>
      </c>
      <c r="G353" s="28" t="s">
        <v>1828</v>
      </c>
      <c r="H353" s="12" t="s">
        <v>1829</v>
      </c>
      <c r="I353" s="12" t="s">
        <v>65</v>
      </c>
      <c r="J353" s="12" t="s">
        <v>66</v>
      </c>
      <c r="K353" s="12" t="s">
        <v>228</v>
      </c>
      <c r="L353" s="12" t="s">
        <v>198</v>
      </c>
      <c r="M353" s="12" t="s">
        <v>1798</v>
      </c>
      <c r="N353" s="12" t="s">
        <v>1827</v>
      </c>
      <c r="O353" s="12" t="s">
        <v>1800</v>
      </c>
      <c r="P353" s="12"/>
      <c r="Q353" s="12"/>
      <c r="R353" s="12"/>
      <c r="S353" s="12" t="s">
        <v>3787</v>
      </c>
      <c r="T353" s="12" t="s">
        <v>3788</v>
      </c>
    </row>
    <row r="354" spans="1:20" ht="28" x14ac:dyDescent="0.35">
      <c r="A354" s="12" t="s">
        <v>1830</v>
      </c>
      <c r="B354" s="12" t="s">
        <v>1831</v>
      </c>
      <c r="C354" s="12" t="s">
        <v>122</v>
      </c>
      <c r="D354" s="12" t="s">
        <v>33</v>
      </c>
      <c r="E354" s="12"/>
      <c r="F354" s="28" t="s">
        <v>202</v>
      </c>
      <c r="G354" s="28" t="s">
        <v>313</v>
      </c>
      <c r="H354" s="12" t="s">
        <v>204</v>
      </c>
      <c r="I354" s="12" t="s">
        <v>59</v>
      </c>
      <c r="J354" s="12" t="s">
        <v>60</v>
      </c>
      <c r="K354" s="12" t="s">
        <v>331</v>
      </c>
      <c r="L354" s="12" t="s">
        <v>239</v>
      </c>
      <c r="M354" s="12" t="s">
        <v>1798</v>
      </c>
      <c r="N354" s="12" t="s">
        <v>1810</v>
      </c>
      <c r="O354" s="12" t="s">
        <v>1800</v>
      </c>
      <c r="P354" s="12"/>
      <c r="Q354" s="12"/>
      <c r="R354" s="12" t="s">
        <v>3270</v>
      </c>
      <c r="S354" s="12" t="s">
        <v>3789</v>
      </c>
      <c r="T354" s="12" t="s">
        <v>3790</v>
      </c>
    </row>
    <row r="355" spans="1:20" x14ac:dyDescent="0.35">
      <c r="A355" s="12" t="s">
        <v>1832</v>
      </c>
      <c r="B355" s="12" t="s">
        <v>1833</v>
      </c>
      <c r="C355" s="12" t="s">
        <v>122</v>
      </c>
      <c r="D355" s="12" t="s">
        <v>36</v>
      </c>
      <c r="E355" s="12"/>
      <c r="F355" s="28" t="s">
        <v>209</v>
      </c>
      <c r="G355" s="28" t="s">
        <v>1834</v>
      </c>
      <c r="H355" s="12" t="s">
        <v>1835</v>
      </c>
      <c r="I355" s="12" t="s">
        <v>71</v>
      </c>
      <c r="J355" s="12" t="s">
        <v>72</v>
      </c>
      <c r="K355" s="12" t="s">
        <v>308</v>
      </c>
      <c r="L355" s="12" t="s">
        <v>259</v>
      </c>
      <c r="M355" s="12" t="s">
        <v>1798</v>
      </c>
      <c r="N355" s="12" t="s">
        <v>1810</v>
      </c>
      <c r="O355" s="12" t="s">
        <v>1800</v>
      </c>
      <c r="P355" s="12"/>
      <c r="Q355" s="12"/>
      <c r="R355" s="12"/>
      <c r="S355" s="12" t="s">
        <v>3791</v>
      </c>
      <c r="T355" s="12" t="s">
        <v>3792</v>
      </c>
    </row>
    <row r="356" spans="1:20" ht="28" x14ac:dyDescent="0.35">
      <c r="A356" s="12" t="s">
        <v>1836</v>
      </c>
      <c r="B356" s="12" t="s">
        <v>1837</v>
      </c>
      <c r="C356" s="12" t="s">
        <v>122</v>
      </c>
      <c r="D356" s="12" t="s">
        <v>33</v>
      </c>
      <c r="E356" s="12"/>
      <c r="F356" s="28" t="s">
        <v>202</v>
      </c>
      <c r="G356" s="28" t="s">
        <v>375</v>
      </c>
      <c r="H356" s="12" t="s">
        <v>204</v>
      </c>
      <c r="I356" s="12" t="s">
        <v>69</v>
      </c>
      <c r="J356" s="12" t="s">
        <v>70</v>
      </c>
      <c r="K356" s="12" t="s">
        <v>228</v>
      </c>
      <c r="L356" s="12" t="s">
        <v>198</v>
      </c>
      <c r="M356" s="12" t="s">
        <v>1838</v>
      </c>
      <c r="N356" s="12" t="s">
        <v>1839</v>
      </c>
      <c r="O356" s="12" t="s">
        <v>1840</v>
      </c>
      <c r="P356" s="12"/>
      <c r="Q356" s="12"/>
      <c r="R356" s="12" t="s">
        <v>3588</v>
      </c>
      <c r="S356" s="12" t="s">
        <v>3793</v>
      </c>
      <c r="T356" s="12" t="s">
        <v>3794</v>
      </c>
    </row>
    <row r="357" spans="1:20" ht="28" x14ac:dyDescent="0.35">
      <c r="A357" s="12" t="s">
        <v>1841</v>
      </c>
      <c r="B357" s="12" t="s">
        <v>1842</v>
      </c>
      <c r="C357" s="12" t="s">
        <v>122</v>
      </c>
      <c r="D357" s="12" t="s">
        <v>33</v>
      </c>
      <c r="E357" s="12"/>
      <c r="F357" s="28" t="s">
        <v>202</v>
      </c>
      <c r="G357" s="28" t="s">
        <v>229</v>
      </c>
      <c r="H357" s="12" t="s">
        <v>204</v>
      </c>
      <c r="I357" s="12" t="s">
        <v>53</v>
      </c>
      <c r="J357" s="12" t="s">
        <v>54</v>
      </c>
      <c r="K357" s="12" t="s">
        <v>308</v>
      </c>
      <c r="L357" s="12" t="s">
        <v>259</v>
      </c>
      <c r="M357" s="12" t="s">
        <v>1843</v>
      </c>
      <c r="N357" s="12" t="s">
        <v>1844</v>
      </c>
      <c r="O357" s="12" t="s">
        <v>1840</v>
      </c>
      <c r="P357" s="12"/>
      <c r="Q357" s="12"/>
      <c r="R357" s="12" t="s">
        <v>3250</v>
      </c>
      <c r="S357" s="12" t="s">
        <v>3795</v>
      </c>
      <c r="T357" s="12" t="s">
        <v>3796</v>
      </c>
    </row>
    <row r="358" spans="1:20" ht="28" x14ac:dyDescent="0.35">
      <c r="A358" s="12" t="s">
        <v>1845</v>
      </c>
      <c r="B358" s="12" t="s">
        <v>1846</v>
      </c>
      <c r="C358" s="12" t="s">
        <v>122</v>
      </c>
      <c r="D358" s="12" t="s">
        <v>33</v>
      </c>
      <c r="E358" s="12"/>
      <c r="F358" s="28" t="s">
        <v>216</v>
      </c>
      <c r="G358" s="28" t="s">
        <v>1849</v>
      </c>
      <c r="H358" s="12" t="s">
        <v>1850</v>
      </c>
      <c r="I358" s="12" t="s">
        <v>73</v>
      </c>
      <c r="J358" s="12" t="s">
        <v>74</v>
      </c>
      <c r="K358" s="12" t="s">
        <v>228</v>
      </c>
      <c r="L358" s="12" t="s">
        <v>198</v>
      </c>
      <c r="M358" s="12" t="s">
        <v>1847</v>
      </c>
      <c r="N358" s="12" t="s">
        <v>1848</v>
      </c>
      <c r="O358" s="12" t="s">
        <v>1840</v>
      </c>
      <c r="P358" s="12"/>
      <c r="Q358" s="12"/>
      <c r="R358" s="12"/>
      <c r="S358" s="12" t="s">
        <v>3797</v>
      </c>
      <c r="T358" s="12" t="s">
        <v>3798</v>
      </c>
    </row>
    <row r="359" spans="1:20" ht="70" x14ac:dyDescent="0.35">
      <c r="A359" s="12" t="s">
        <v>1851</v>
      </c>
      <c r="B359" s="12" t="s">
        <v>1852</v>
      </c>
      <c r="C359" s="12" t="s">
        <v>122</v>
      </c>
      <c r="D359" s="12" t="s">
        <v>33</v>
      </c>
      <c r="E359" s="12"/>
      <c r="F359" s="28" t="s">
        <v>202</v>
      </c>
      <c r="G359" s="28" t="s">
        <v>1854</v>
      </c>
      <c r="H359" s="12" t="s">
        <v>204</v>
      </c>
      <c r="I359" s="12" t="s">
        <v>53</v>
      </c>
      <c r="J359" s="12" t="s">
        <v>54</v>
      </c>
      <c r="K359" s="12" t="s">
        <v>228</v>
      </c>
      <c r="L359" s="12" t="s">
        <v>198</v>
      </c>
      <c r="M359" s="12" t="s">
        <v>1838</v>
      </c>
      <c r="N359" s="12" t="s">
        <v>1853</v>
      </c>
      <c r="O359" s="12" t="s">
        <v>1840</v>
      </c>
      <c r="P359" s="12"/>
      <c r="Q359" s="12"/>
      <c r="R359" s="12" t="s">
        <v>3250</v>
      </c>
      <c r="S359" s="12"/>
      <c r="T359" s="12" t="s">
        <v>3799</v>
      </c>
    </row>
    <row r="360" spans="1:20" ht="56" x14ac:dyDescent="0.35">
      <c r="A360" s="12" t="s">
        <v>1855</v>
      </c>
      <c r="B360" s="12" t="s">
        <v>1856</v>
      </c>
      <c r="C360" s="12" t="s">
        <v>122</v>
      </c>
      <c r="D360" s="12" t="s">
        <v>34</v>
      </c>
      <c r="E360" s="12"/>
      <c r="F360" s="28" t="s">
        <v>216</v>
      </c>
      <c r="G360" s="28" t="s">
        <v>1859</v>
      </c>
      <c r="H360" s="12" t="s">
        <v>1860</v>
      </c>
      <c r="I360" s="12" t="s">
        <v>65</v>
      </c>
      <c r="J360" s="12" t="s">
        <v>66</v>
      </c>
      <c r="K360" s="12" t="s">
        <v>228</v>
      </c>
      <c r="L360" s="12" t="s">
        <v>198</v>
      </c>
      <c r="M360" s="12" t="s">
        <v>1857</v>
      </c>
      <c r="N360" s="12" t="s">
        <v>1858</v>
      </c>
      <c r="O360" s="12" t="s">
        <v>1840</v>
      </c>
      <c r="P360" s="12"/>
      <c r="Q360" s="12"/>
      <c r="R360" s="12"/>
      <c r="S360" s="12" t="s">
        <v>3800</v>
      </c>
      <c r="T360" s="12" t="s">
        <v>3801</v>
      </c>
    </row>
    <row r="361" spans="1:20" ht="28" x14ac:dyDescent="0.35">
      <c r="A361" s="12" t="s">
        <v>1861</v>
      </c>
      <c r="B361" s="12" t="s">
        <v>1862</v>
      </c>
      <c r="C361" s="12" t="s">
        <v>122</v>
      </c>
      <c r="D361" s="12" t="s">
        <v>33</v>
      </c>
      <c r="E361" s="12"/>
      <c r="F361" s="28" t="s">
        <v>202</v>
      </c>
      <c r="G361" s="28" t="s">
        <v>473</v>
      </c>
      <c r="H361" s="12" t="s">
        <v>204</v>
      </c>
      <c r="I361" s="12" t="s">
        <v>67</v>
      </c>
      <c r="J361" s="12" t="s">
        <v>68</v>
      </c>
      <c r="K361" s="12" t="s">
        <v>308</v>
      </c>
      <c r="L361" s="12" t="s">
        <v>259</v>
      </c>
      <c r="M361" s="12" t="s">
        <v>1863</v>
      </c>
      <c r="N361" s="12" t="s">
        <v>1864</v>
      </c>
      <c r="O361" s="12" t="s">
        <v>1840</v>
      </c>
      <c r="P361" s="12"/>
      <c r="Q361" s="12"/>
      <c r="R361" s="12" t="s">
        <v>3250</v>
      </c>
      <c r="S361" s="12" t="s">
        <v>3802</v>
      </c>
      <c r="T361" s="12" t="s">
        <v>3803</v>
      </c>
    </row>
    <row r="362" spans="1:20" ht="28" x14ac:dyDescent="0.35">
      <c r="A362" s="12" t="s">
        <v>1865</v>
      </c>
      <c r="B362" s="12" t="s">
        <v>1866</v>
      </c>
      <c r="C362" s="12" t="s">
        <v>122</v>
      </c>
      <c r="D362" s="12" t="s">
        <v>33</v>
      </c>
      <c r="E362" s="12"/>
      <c r="F362" s="28" t="s">
        <v>202</v>
      </c>
      <c r="G362" s="28" t="s">
        <v>414</v>
      </c>
      <c r="H362" s="12" t="s">
        <v>204</v>
      </c>
      <c r="I362" s="12" t="s">
        <v>57</v>
      </c>
      <c r="J362" s="12" t="s">
        <v>58</v>
      </c>
      <c r="K362" s="12" t="s">
        <v>308</v>
      </c>
      <c r="L362" s="12" t="s">
        <v>259</v>
      </c>
      <c r="M362" s="12" t="s">
        <v>1838</v>
      </c>
      <c r="N362" s="12" t="s">
        <v>1853</v>
      </c>
      <c r="O362" s="12" t="s">
        <v>1840</v>
      </c>
      <c r="P362" s="12"/>
      <c r="Q362" s="12"/>
      <c r="R362" s="12" t="s">
        <v>3250</v>
      </c>
      <c r="S362" s="12" t="s">
        <v>3804</v>
      </c>
      <c r="T362" s="12" t="s">
        <v>3517</v>
      </c>
    </row>
    <row r="363" spans="1:20" ht="28" x14ac:dyDescent="0.35">
      <c r="A363" s="12" t="s">
        <v>1867</v>
      </c>
      <c r="B363" s="12" t="s">
        <v>1868</v>
      </c>
      <c r="C363" s="12" t="s">
        <v>122</v>
      </c>
      <c r="D363" s="12" t="s">
        <v>33</v>
      </c>
      <c r="E363" s="12"/>
      <c r="F363" s="28" t="s">
        <v>202</v>
      </c>
      <c r="G363" s="28" t="s">
        <v>229</v>
      </c>
      <c r="H363" s="12" t="s">
        <v>204</v>
      </c>
      <c r="I363" s="12" t="s">
        <v>53</v>
      </c>
      <c r="J363" s="12" t="s">
        <v>54</v>
      </c>
      <c r="K363" s="12" t="s">
        <v>331</v>
      </c>
      <c r="L363" s="12" t="s">
        <v>239</v>
      </c>
      <c r="M363" s="12" t="s">
        <v>1869</v>
      </c>
      <c r="N363" s="12" t="s">
        <v>1870</v>
      </c>
      <c r="O363" s="12" t="s">
        <v>1840</v>
      </c>
      <c r="P363" s="12"/>
      <c r="Q363" s="12"/>
      <c r="R363" s="12" t="s">
        <v>3250</v>
      </c>
      <c r="S363" s="12" t="s">
        <v>3805</v>
      </c>
      <c r="T363" s="12" t="s">
        <v>3806</v>
      </c>
    </row>
    <row r="364" spans="1:20" ht="28" x14ac:dyDescent="0.35">
      <c r="A364" s="12" t="s">
        <v>1871</v>
      </c>
      <c r="B364" s="12" t="s">
        <v>1872</v>
      </c>
      <c r="C364" s="12" t="s">
        <v>122</v>
      </c>
      <c r="D364" s="12" t="s">
        <v>33</v>
      </c>
      <c r="E364" s="12"/>
      <c r="F364" s="28" t="s">
        <v>202</v>
      </c>
      <c r="G364" s="28" t="s">
        <v>414</v>
      </c>
      <c r="H364" s="12" t="s">
        <v>204</v>
      </c>
      <c r="I364" s="12" t="s">
        <v>57</v>
      </c>
      <c r="J364" s="12" t="s">
        <v>58</v>
      </c>
      <c r="K364" s="12" t="s">
        <v>228</v>
      </c>
      <c r="L364" s="12" t="s">
        <v>198</v>
      </c>
      <c r="M364" s="12" t="s">
        <v>1873</v>
      </c>
      <c r="N364" s="12" t="s">
        <v>1874</v>
      </c>
      <c r="O364" s="12" t="s">
        <v>1840</v>
      </c>
      <c r="P364" s="12"/>
      <c r="Q364" s="12"/>
      <c r="R364" s="12" t="s">
        <v>3250</v>
      </c>
      <c r="S364" s="12" t="s">
        <v>3807</v>
      </c>
      <c r="T364" s="12" t="s">
        <v>3272</v>
      </c>
    </row>
    <row r="365" spans="1:20" ht="28" x14ac:dyDescent="0.35">
      <c r="A365" s="12" t="s">
        <v>1875</v>
      </c>
      <c r="B365" s="12" t="s">
        <v>1876</v>
      </c>
      <c r="C365" s="12" t="s">
        <v>122</v>
      </c>
      <c r="D365" s="12" t="s">
        <v>33</v>
      </c>
      <c r="E365" s="12"/>
      <c r="F365" s="28" t="s">
        <v>202</v>
      </c>
      <c r="G365" s="28" t="s">
        <v>318</v>
      </c>
      <c r="H365" s="12" t="s">
        <v>204</v>
      </c>
      <c r="I365" s="12" t="s">
        <v>61</v>
      </c>
      <c r="J365" s="12" t="s">
        <v>62</v>
      </c>
      <c r="K365" s="12" t="s">
        <v>308</v>
      </c>
      <c r="L365" s="12" t="s">
        <v>259</v>
      </c>
      <c r="M365" s="12" t="s">
        <v>1877</v>
      </c>
      <c r="N365" s="12" t="s">
        <v>1878</v>
      </c>
      <c r="O365" s="12" t="s">
        <v>1840</v>
      </c>
      <c r="P365" s="12"/>
      <c r="Q365" s="12"/>
      <c r="R365" s="12" t="s">
        <v>3250</v>
      </c>
      <c r="S365" s="12"/>
      <c r="T365" s="12" t="s">
        <v>3808</v>
      </c>
    </row>
    <row r="366" spans="1:20" ht="28" x14ac:dyDescent="0.35">
      <c r="A366" s="12" t="s">
        <v>1879</v>
      </c>
      <c r="B366" s="12" t="s">
        <v>1880</v>
      </c>
      <c r="C366" s="12" t="s">
        <v>122</v>
      </c>
      <c r="D366" s="12" t="s">
        <v>33</v>
      </c>
      <c r="E366" s="12"/>
      <c r="F366" s="28" t="s">
        <v>209</v>
      </c>
      <c r="G366" s="28" t="s">
        <v>1882</v>
      </c>
      <c r="H366" s="12" t="s">
        <v>1883</v>
      </c>
      <c r="I366" s="12" t="s">
        <v>53</v>
      </c>
      <c r="J366" s="12" t="s">
        <v>54</v>
      </c>
      <c r="K366" s="12" t="s">
        <v>228</v>
      </c>
      <c r="L366" s="12" t="s">
        <v>198</v>
      </c>
      <c r="M366" s="12" t="s">
        <v>1881</v>
      </c>
      <c r="N366" s="12" t="s">
        <v>1844</v>
      </c>
      <c r="O366" s="12" t="s">
        <v>1840</v>
      </c>
      <c r="P366" s="12"/>
      <c r="Q366" s="12"/>
      <c r="R366" s="12"/>
      <c r="S366" s="12" t="s">
        <v>3809</v>
      </c>
      <c r="T366" s="12" t="s">
        <v>3810</v>
      </c>
    </row>
    <row r="367" spans="1:20" x14ac:dyDescent="0.35">
      <c r="A367" s="12" t="s">
        <v>2522</v>
      </c>
      <c r="B367" s="12" t="s">
        <v>2523</v>
      </c>
      <c r="C367" s="12" t="s">
        <v>122</v>
      </c>
      <c r="D367" s="12" t="s">
        <v>33</v>
      </c>
      <c r="E367" s="12" t="s">
        <v>2414</v>
      </c>
      <c r="F367" s="28" t="s">
        <v>209</v>
      </c>
      <c r="G367" s="28" t="s">
        <v>2526</v>
      </c>
      <c r="H367" s="12" t="s">
        <v>2527</v>
      </c>
      <c r="I367" s="12" t="s">
        <v>53</v>
      </c>
      <c r="J367" s="12" t="s">
        <v>54</v>
      </c>
      <c r="K367" s="12" t="s">
        <v>228</v>
      </c>
      <c r="L367" s="12" t="s">
        <v>198</v>
      </c>
      <c r="M367" s="12" t="s">
        <v>2524</v>
      </c>
      <c r="N367" s="12" t="s">
        <v>2525</v>
      </c>
      <c r="O367" s="12" t="s">
        <v>1840</v>
      </c>
      <c r="P367" s="12" t="s">
        <v>3325</v>
      </c>
      <c r="Q367" s="12" t="s">
        <v>3811</v>
      </c>
      <c r="R367" s="12"/>
      <c r="S367" s="12"/>
      <c r="T367" s="12" t="s">
        <v>3812</v>
      </c>
    </row>
    <row r="368" spans="1:20" ht="28" x14ac:dyDescent="0.35">
      <c r="A368" s="12" t="s">
        <v>2528</v>
      </c>
      <c r="B368" s="12" t="s">
        <v>2529</v>
      </c>
      <c r="C368" s="12" t="s">
        <v>122</v>
      </c>
      <c r="D368" s="12" t="s">
        <v>33</v>
      </c>
      <c r="E368" s="12" t="s">
        <v>2414</v>
      </c>
      <c r="F368" s="28" t="s">
        <v>209</v>
      </c>
      <c r="G368" s="28" t="s">
        <v>2530</v>
      </c>
      <c r="H368" s="12" t="s">
        <v>2531</v>
      </c>
      <c r="I368" s="12" t="s">
        <v>65</v>
      </c>
      <c r="J368" s="12" t="s">
        <v>66</v>
      </c>
      <c r="K368" s="12" t="s">
        <v>228</v>
      </c>
      <c r="L368" s="12" t="s">
        <v>198</v>
      </c>
      <c r="M368" s="12" t="s">
        <v>1838</v>
      </c>
      <c r="N368" s="12" t="s">
        <v>1839</v>
      </c>
      <c r="O368" s="12" t="s">
        <v>1840</v>
      </c>
      <c r="P368" s="12" t="s">
        <v>3325</v>
      </c>
      <c r="Q368" s="12" t="s">
        <v>3813</v>
      </c>
      <c r="R368" s="12"/>
      <c r="S368" s="12"/>
      <c r="T368" s="12" t="s">
        <v>3751</v>
      </c>
    </row>
    <row r="369" spans="1:20" ht="56" x14ac:dyDescent="0.35">
      <c r="A369" s="12" t="s">
        <v>1884</v>
      </c>
      <c r="B369" s="12" t="s">
        <v>1885</v>
      </c>
      <c r="C369" s="12" t="s">
        <v>122</v>
      </c>
      <c r="D369" s="12" t="s">
        <v>33</v>
      </c>
      <c r="E369" s="12"/>
      <c r="F369" s="28" t="s">
        <v>202</v>
      </c>
      <c r="G369" s="28" t="s">
        <v>1889</v>
      </c>
      <c r="H369" s="12" t="s">
        <v>204</v>
      </c>
      <c r="I369" s="12" t="s">
        <v>53</v>
      </c>
      <c r="J369" s="12" t="s">
        <v>54</v>
      </c>
      <c r="K369" s="12" t="s">
        <v>331</v>
      </c>
      <c r="L369" s="12" t="s">
        <v>239</v>
      </c>
      <c r="M369" s="12" t="s">
        <v>1886</v>
      </c>
      <c r="N369" s="12" t="s">
        <v>1887</v>
      </c>
      <c r="O369" s="12" t="s">
        <v>1888</v>
      </c>
      <c r="P369" s="12"/>
      <c r="Q369" s="12"/>
      <c r="R369" s="12" t="s">
        <v>3250</v>
      </c>
      <c r="S369" s="12" t="s">
        <v>3814</v>
      </c>
      <c r="T369" s="12" t="s">
        <v>3815</v>
      </c>
    </row>
    <row r="370" spans="1:20" ht="112" x14ac:dyDescent="0.35">
      <c r="A370" s="12" t="s">
        <v>1890</v>
      </c>
      <c r="B370" s="12" t="s">
        <v>1891</v>
      </c>
      <c r="C370" s="12" t="s">
        <v>122</v>
      </c>
      <c r="D370" s="12" t="s">
        <v>34</v>
      </c>
      <c r="E370" s="12"/>
      <c r="F370" s="28" t="s">
        <v>216</v>
      </c>
      <c r="G370" s="28" t="s">
        <v>1894</v>
      </c>
      <c r="H370" s="12" t="s">
        <v>1895</v>
      </c>
      <c r="I370" s="12" t="s">
        <v>65</v>
      </c>
      <c r="J370" s="12" t="s">
        <v>66</v>
      </c>
      <c r="K370" s="12" t="s">
        <v>308</v>
      </c>
      <c r="L370" s="12" t="s">
        <v>259</v>
      </c>
      <c r="M370" s="12" t="s">
        <v>1892</v>
      </c>
      <c r="N370" s="12" t="s">
        <v>1893</v>
      </c>
      <c r="O370" s="12" t="s">
        <v>1888</v>
      </c>
      <c r="P370" s="12"/>
      <c r="Q370" s="12"/>
      <c r="R370" s="12"/>
      <c r="S370" s="12" t="s">
        <v>3816</v>
      </c>
      <c r="T370" s="12" t="s">
        <v>3817</v>
      </c>
    </row>
    <row r="371" spans="1:20" x14ac:dyDescent="0.35">
      <c r="A371" s="12" t="s">
        <v>1896</v>
      </c>
      <c r="B371" s="12" t="s">
        <v>1897</v>
      </c>
      <c r="C371" s="12" t="s">
        <v>122</v>
      </c>
      <c r="D371" s="12" t="s">
        <v>38</v>
      </c>
      <c r="E371" s="12"/>
      <c r="F371" s="28" t="s">
        <v>209</v>
      </c>
      <c r="G371" s="28" t="s">
        <v>1900</v>
      </c>
      <c r="H371" s="12" t="s">
        <v>1901</v>
      </c>
      <c r="I371" s="12" t="s">
        <v>65</v>
      </c>
      <c r="J371" s="12" t="s">
        <v>66</v>
      </c>
      <c r="K371" s="12" t="s">
        <v>308</v>
      </c>
      <c r="L371" s="12" t="s">
        <v>259</v>
      </c>
      <c r="M371" s="12" t="s">
        <v>1898</v>
      </c>
      <c r="N371" s="12" t="s">
        <v>1899</v>
      </c>
      <c r="O371" s="12" t="s">
        <v>1888</v>
      </c>
      <c r="P371" s="12"/>
      <c r="Q371" s="12"/>
      <c r="R371" s="12"/>
      <c r="S371" s="12" t="s">
        <v>3818</v>
      </c>
      <c r="T371" s="12" t="s">
        <v>3819</v>
      </c>
    </row>
    <row r="372" spans="1:20" ht="28" x14ac:dyDescent="0.35">
      <c r="A372" s="12" t="s">
        <v>1902</v>
      </c>
      <c r="B372" s="12" t="s">
        <v>1903</v>
      </c>
      <c r="C372" s="12" t="s">
        <v>122</v>
      </c>
      <c r="D372" s="12" t="s">
        <v>33</v>
      </c>
      <c r="E372" s="12"/>
      <c r="F372" s="28" t="s">
        <v>202</v>
      </c>
      <c r="G372" s="28" t="s">
        <v>371</v>
      </c>
      <c r="H372" s="12" t="s">
        <v>204</v>
      </c>
      <c r="I372" s="12" t="s">
        <v>55</v>
      </c>
      <c r="J372" s="12" t="s">
        <v>56</v>
      </c>
      <c r="K372" s="12" t="s">
        <v>228</v>
      </c>
      <c r="L372" s="12" t="s">
        <v>198</v>
      </c>
      <c r="M372" s="12" t="s">
        <v>1904</v>
      </c>
      <c r="N372" s="12" t="s">
        <v>1905</v>
      </c>
      <c r="O372" s="12" t="s">
        <v>1888</v>
      </c>
      <c r="P372" s="12"/>
      <c r="Q372" s="12"/>
      <c r="R372" s="12" t="s">
        <v>3266</v>
      </c>
      <c r="S372" s="12"/>
      <c r="T372" s="12" t="s">
        <v>3820</v>
      </c>
    </row>
    <row r="373" spans="1:20" x14ac:dyDescent="0.35">
      <c r="A373" s="12" t="s">
        <v>1906</v>
      </c>
      <c r="B373" s="12" t="s">
        <v>1907</v>
      </c>
      <c r="C373" s="12" t="s">
        <v>122</v>
      </c>
      <c r="D373" s="12" t="s">
        <v>33</v>
      </c>
      <c r="E373" s="12"/>
      <c r="F373" s="28" t="s">
        <v>209</v>
      </c>
      <c r="G373" s="28" t="s">
        <v>1910</v>
      </c>
      <c r="H373" s="12" t="s">
        <v>1911</v>
      </c>
      <c r="I373" s="12" t="s">
        <v>53</v>
      </c>
      <c r="J373" s="12" t="s">
        <v>54</v>
      </c>
      <c r="K373" s="12" t="s">
        <v>228</v>
      </c>
      <c r="L373" s="12" t="s">
        <v>198</v>
      </c>
      <c r="M373" s="12" t="s">
        <v>1908</v>
      </c>
      <c r="N373" s="12" t="s">
        <v>1909</v>
      </c>
      <c r="O373" s="12" t="s">
        <v>1888</v>
      </c>
      <c r="P373" s="12"/>
      <c r="Q373" s="12"/>
      <c r="R373" s="12"/>
      <c r="S373" s="12"/>
      <c r="T373" s="12" t="s">
        <v>3821</v>
      </c>
    </row>
    <row r="374" spans="1:20" ht="28" x14ac:dyDescent="0.35">
      <c r="A374" s="12" t="s">
        <v>1912</v>
      </c>
      <c r="B374" s="12" t="s">
        <v>1913</v>
      </c>
      <c r="C374" s="12" t="s">
        <v>122</v>
      </c>
      <c r="D374" s="12" t="s">
        <v>33</v>
      </c>
      <c r="E374" s="12"/>
      <c r="F374" s="28" t="s">
        <v>202</v>
      </c>
      <c r="G374" s="28" t="s">
        <v>318</v>
      </c>
      <c r="H374" s="12" t="s">
        <v>204</v>
      </c>
      <c r="I374" s="12" t="s">
        <v>61</v>
      </c>
      <c r="J374" s="12" t="s">
        <v>62</v>
      </c>
      <c r="K374" s="12" t="s">
        <v>331</v>
      </c>
      <c r="L374" s="12" t="s">
        <v>239</v>
      </c>
      <c r="M374" s="12" t="s">
        <v>1914</v>
      </c>
      <c r="N374" s="12" t="s">
        <v>1915</v>
      </c>
      <c r="O374" s="12" t="s">
        <v>1888</v>
      </c>
      <c r="P374" s="12"/>
      <c r="Q374" s="12"/>
      <c r="R374" s="12" t="s">
        <v>3250</v>
      </c>
      <c r="S374" s="12" t="s">
        <v>3822</v>
      </c>
      <c r="T374" s="12" t="s">
        <v>3823</v>
      </c>
    </row>
    <row r="375" spans="1:20" ht="42" x14ac:dyDescent="0.35">
      <c r="A375" s="12" t="s">
        <v>1916</v>
      </c>
      <c r="B375" s="12" t="s">
        <v>1917</v>
      </c>
      <c r="C375" s="12" t="s">
        <v>122</v>
      </c>
      <c r="D375" s="12" t="s">
        <v>33</v>
      </c>
      <c r="E375" s="12"/>
      <c r="F375" s="28" t="s">
        <v>216</v>
      </c>
      <c r="G375" s="28" t="s">
        <v>1920</v>
      </c>
      <c r="H375" s="12" t="s">
        <v>1921</v>
      </c>
      <c r="I375" s="12" t="s">
        <v>53</v>
      </c>
      <c r="J375" s="12" t="s">
        <v>54</v>
      </c>
      <c r="K375" s="12" t="s">
        <v>228</v>
      </c>
      <c r="L375" s="12" t="s">
        <v>198</v>
      </c>
      <c r="M375" s="12" t="s">
        <v>1918</v>
      </c>
      <c r="N375" s="12" t="s">
        <v>1919</v>
      </c>
      <c r="O375" s="12" t="s">
        <v>1888</v>
      </c>
      <c r="P375" s="12"/>
      <c r="Q375" s="12"/>
      <c r="R375" s="12"/>
      <c r="S375" s="12" t="s">
        <v>3824</v>
      </c>
      <c r="T375" s="12" t="s">
        <v>3825</v>
      </c>
    </row>
    <row r="376" spans="1:20" ht="28" x14ac:dyDescent="0.35">
      <c r="A376" s="12" t="s">
        <v>1922</v>
      </c>
      <c r="B376" s="12" t="s">
        <v>1923</v>
      </c>
      <c r="C376" s="12" t="s">
        <v>122</v>
      </c>
      <c r="D376" s="12" t="s">
        <v>33</v>
      </c>
      <c r="E376" s="12"/>
      <c r="F376" s="28" t="s">
        <v>202</v>
      </c>
      <c r="G376" s="28" t="s">
        <v>371</v>
      </c>
      <c r="H376" s="12" t="s">
        <v>204</v>
      </c>
      <c r="I376" s="12" t="s">
        <v>55</v>
      </c>
      <c r="J376" s="12" t="s">
        <v>56</v>
      </c>
      <c r="K376" s="12" t="s">
        <v>331</v>
      </c>
      <c r="L376" s="12" t="s">
        <v>239</v>
      </c>
      <c r="M376" s="12" t="s">
        <v>1924</v>
      </c>
      <c r="N376" s="12" t="s">
        <v>1925</v>
      </c>
      <c r="O376" s="12" t="s">
        <v>1888</v>
      </c>
      <c r="P376" s="12"/>
      <c r="Q376" s="12"/>
      <c r="R376" s="12" t="s">
        <v>3250</v>
      </c>
      <c r="S376" s="12" t="s">
        <v>3826</v>
      </c>
      <c r="T376" s="12" t="s">
        <v>3827</v>
      </c>
    </row>
    <row r="377" spans="1:20" ht="56" x14ac:dyDescent="0.35">
      <c r="A377" s="12" t="s">
        <v>1926</v>
      </c>
      <c r="B377" s="12" t="s">
        <v>1927</v>
      </c>
      <c r="C377" s="12" t="s">
        <v>122</v>
      </c>
      <c r="D377" s="12" t="s">
        <v>33</v>
      </c>
      <c r="E377" s="12"/>
      <c r="F377" s="28" t="s">
        <v>202</v>
      </c>
      <c r="G377" s="28" t="s">
        <v>1930</v>
      </c>
      <c r="H377" s="12" t="s">
        <v>204</v>
      </c>
      <c r="I377" s="12" t="s">
        <v>55</v>
      </c>
      <c r="J377" s="12" t="s">
        <v>56</v>
      </c>
      <c r="K377" s="12" t="s">
        <v>331</v>
      </c>
      <c r="L377" s="12" t="s">
        <v>239</v>
      </c>
      <c r="M377" s="12" t="s">
        <v>1928</v>
      </c>
      <c r="N377" s="12" t="s">
        <v>1929</v>
      </c>
      <c r="O377" s="12" t="s">
        <v>1888</v>
      </c>
      <c r="P377" s="12"/>
      <c r="Q377" s="12"/>
      <c r="R377" s="12" t="s">
        <v>3250</v>
      </c>
      <c r="S377" s="12"/>
      <c r="T377" s="12" t="s">
        <v>3828</v>
      </c>
    </row>
    <row r="378" spans="1:20" ht="28" x14ac:dyDescent="0.35">
      <c r="A378" s="12" t="s">
        <v>1931</v>
      </c>
      <c r="B378" s="12" t="s">
        <v>1932</v>
      </c>
      <c r="C378" s="12" t="s">
        <v>122</v>
      </c>
      <c r="D378" s="12" t="s">
        <v>33</v>
      </c>
      <c r="E378" s="12"/>
      <c r="F378" s="28" t="s">
        <v>202</v>
      </c>
      <c r="G378" s="28" t="s">
        <v>371</v>
      </c>
      <c r="H378" s="12" t="s">
        <v>204</v>
      </c>
      <c r="I378" s="12" t="s">
        <v>55</v>
      </c>
      <c r="J378" s="12" t="s">
        <v>56</v>
      </c>
      <c r="K378" s="12" t="s">
        <v>228</v>
      </c>
      <c r="L378" s="12" t="s">
        <v>198</v>
      </c>
      <c r="M378" s="12" t="s">
        <v>1933</v>
      </c>
      <c r="N378" s="12" t="s">
        <v>1934</v>
      </c>
      <c r="O378" s="12" t="s">
        <v>1935</v>
      </c>
      <c r="P378" s="12"/>
      <c r="Q378" s="12"/>
      <c r="R378" s="12" t="s">
        <v>3588</v>
      </c>
      <c r="S378" s="12" t="s">
        <v>3829</v>
      </c>
      <c r="T378" s="12" t="s">
        <v>3830</v>
      </c>
    </row>
    <row r="379" spans="1:20" ht="28" x14ac:dyDescent="0.35">
      <c r="A379" s="12" t="s">
        <v>1936</v>
      </c>
      <c r="B379" s="12" t="s">
        <v>1937</v>
      </c>
      <c r="C379" s="12" t="s">
        <v>122</v>
      </c>
      <c r="D379" s="12" t="s">
        <v>33</v>
      </c>
      <c r="E379" s="12"/>
      <c r="F379" s="28" t="s">
        <v>209</v>
      </c>
      <c r="G379" s="28" t="s">
        <v>1940</v>
      </c>
      <c r="H379" s="12" t="s">
        <v>1941</v>
      </c>
      <c r="I379" s="12" t="s">
        <v>73</v>
      </c>
      <c r="J379" s="12" t="s">
        <v>74</v>
      </c>
      <c r="K379" s="12" t="s">
        <v>228</v>
      </c>
      <c r="L379" s="12" t="s">
        <v>198</v>
      </c>
      <c r="M379" s="12" t="s">
        <v>1938</v>
      </c>
      <c r="N379" s="12" t="s">
        <v>1939</v>
      </c>
      <c r="O379" s="12" t="s">
        <v>1935</v>
      </c>
      <c r="P379" s="12"/>
      <c r="Q379" s="12"/>
      <c r="R379" s="12"/>
      <c r="S379" s="12"/>
      <c r="T379" s="12" t="s">
        <v>3399</v>
      </c>
    </row>
    <row r="380" spans="1:20" ht="56" x14ac:dyDescent="0.35">
      <c r="A380" s="12" t="s">
        <v>1942</v>
      </c>
      <c r="B380" s="12" t="s">
        <v>1943</v>
      </c>
      <c r="C380" s="12" t="s">
        <v>122</v>
      </c>
      <c r="D380" s="12" t="s">
        <v>33</v>
      </c>
      <c r="E380" s="12"/>
      <c r="F380" s="28" t="s">
        <v>202</v>
      </c>
      <c r="G380" s="28" t="s">
        <v>1946</v>
      </c>
      <c r="H380" s="12" t="s">
        <v>204</v>
      </c>
      <c r="I380" s="12" t="s">
        <v>59</v>
      </c>
      <c r="J380" s="12" t="s">
        <v>60</v>
      </c>
      <c r="K380" s="12" t="s">
        <v>308</v>
      </c>
      <c r="L380" s="12" t="s">
        <v>259</v>
      </c>
      <c r="M380" s="12" t="s">
        <v>1944</v>
      </c>
      <c r="N380" s="12" t="s">
        <v>1945</v>
      </c>
      <c r="O380" s="12" t="s">
        <v>1935</v>
      </c>
      <c r="P380" s="12"/>
      <c r="Q380" s="12"/>
      <c r="R380" s="12" t="s">
        <v>3308</v>
      </c>
      <c r="S380" s="12"/>
      <c r="T380" s="12" t="s">
        <v>3831</v>
      </c>
    </row>
    <row r="381" spans="1:20" x14ac:dyDescent="0.35">
      <c r="A381" s="12" t="s">
        <v>1947</v>
      </c>
      <c r="B381" s="12" t="s">
        <v>1948</v>
      </c>
      <c r="C381" s="12" t="s">
        <v>122</v>
      </c>
      <c r="D381" s="12" t="s">
        <v>33</v>
      </c>
      <c r="E381" s="12"/>
      <c r="F381" s="28" t="s">
        <v>209</v>
      </c>
      <c r="G381" s="28" t="s">
        <v>1951</v>
      </c>
      <c r="H381" s="12" t="s">
        <v>1952</v>
      </c>
      <c r="I381" s="12" t="s">
        <v>55</v>
      </c>
      <c r="J381" s="12" t="s">
        <v>56</v>
      </c>
      <c r="K381" s="12" t="s">
        <v>228</v>
      </c>
      <c r="L381" s="12" t="s">
        <v>198</v>
      </c>
      <c r="M381" s="12" t="s">
        <v>1949</v>
      </c>
      <c r="N381" s="12" t="s">
        <v>1950</v>
      </c>
      <c r="O381" s="12" t="s">
        <v>1935</v>
      </c>
      <c r="P381" s="12"/>
      <c r="Q381" s="12"/>
      <c r="R381" s="12"/>
      <c r="S381" s="12"/>
      <c r="T381" s="12" t="s">
        <v>3832</v>
      </c>
    </row>
    <row r="382" spans="1:20" ht="28" x14ac:dyDescent="0.35">
      <c r="A382" s="12" t="s">
        <v>1953</v>
      </c>
      <c r="B382" s="12" t="s">
        <v>1954</v>
      </c>
      <c r="C382" s="12" t="s">
        <v>122</v>
      </c>
      <c r="D382" s="12" t="s">
        <v>33</v>
      </c>
      <c r="E382" s="12"/>
      <c r="F382" s="28" t="s">
        <v>202</v>
      </c>
      <c r="G382" s="28" t="s">
        <v>1957</v>
      </c>
      <c r="H382" s="12" t="s">
        <v>1958</v>
      </c>
      <c r="I382" s="12" t="s">
        <v>55</v>
      </c>
      <c r="J382" s="12" t="s">
        <v>56</v>
      </c>
      <c r="K382" s="12" t="s">
        <v>308</v>
      </c>
      <c r="L382" s="12" t="s">
        <v>259</v>
      </c>
      <c r="M382" s="12" t="s">
        <v>1955</v>
      </c>
      <c r="N382" s="12" t="s">
        <v>1956</v>
      </c>
      <c r="O382" s="12" t="s">
        <v>1935</v>
      </c>
      <c r="P382" s="12"/>
      <c r="Q382" s="12"/>
      <c r="R382" s="12" t="s">
        <v>3833</v>
      </c>
      <c r="S382" s="12"/>
      <c r="T382" s="12" t="s">
        <v>3834</v>
      </c>
    </row>
    <row r="383" spans="1:20" ht="28" x14ac:dyDescent="0.35">
      <c r="A383" s="12" t="s">
        <v>1959</v>
      </c>
      <c r="B383" s="12" t="s">
        <v>1960</v>
      </c>
      <c r="C383" s="12" t="s">
        <v>122</v>
      </c>
      <c r="D383" s="12" t="s">
        <v>36</v>
      </c>
      <c r="E383" s="12"/>
      <c r="F383" s="28" t="s">
        <v>209</v>
      </c>
      <c r="G383" s="28" t="s">
        <v>1964</v>
      </c>
      <c r="H383" s="12" t="s">
        <v>1965</v>
      </c>
      <c r="I383" s="12" t="s">
        <v>81</v>
      </c>
      <c r="J383" s="12" t="s">
        <v>82</v>
      </c>
      <c r="K383" s="12" t="s">
        <v>457</v>
      </c>
      <c r="L383" s="12" t="s">
        <v>1961</v>
      </c>
      <c r="M383" s="12" t="s">
        <v>1962</v>
      </c>
      <c r="N383" s="12" t="s">
        <v>1963</v>
      </c>
      <c r="O383" s="12" t="s">
        <v>1935</v>
      </c>
      <c r="P383" s="12"/>
      <c r="Q383" s="12"/>
      <c r="R383" s="12"/>
      <c r="S383" s="12" t="s">
        <v>3835</v>
      </c>
      <c r="T383" s="12" t="s">
        <v>3836</v>
      </c>
    </row>
    <row r="384" spans="1:20" ht="42" x14ac:dyDescent="0.35">
      <c r="A384" s="12" t="s">
        <v>1966</v>
      </c>
      <c r="B384" s="12" t="s">
        <v>1967</v>
      </c>
      <c r="C384" s="12" t="s">
        <v>122</v>
      </c>
      <c r="D384" s="12" t="s">
        <v>33</v>
      </c>
      <c r="E384" s="12"/>
      <c r="F384" s="28" t="s">
        <v>202</v>
      </c>
      <c r="G384" s="28" t="s">
        <v>1970</v>
      </c>
      <c r="H384" s="12" t="s">
        <v>204</v>
      </c>
      <c r="I384" s="12" t="s">
        <v>53</v>
      </c>
      <c r="J384" s="12" t="s">
        <v>54</v>
      </c>
      <c r="K384" s="12" t="s">
        <v>331</v>
      </c>
      <c r="L384" s="12" t="s">
        <v>239</v>
      </c>
      <c r="M384" s="12" t="s">
        <v>1968</v>
      </c>
      <c r="N384" s="12" t="s">
        <v>1969</v>
      </c>
      <c r="O384" s="12" t="s">
        <v>1935</v>
      </c>
      <c r="P384" s="12"/>
      <c r="Q384" s="12"/>
      <c r="R384" s="12" t="s">
        <v>3250</v>
      </c>
      <c r="S384" s="12"/>
      <c r="T384" s="12" t="s">
        <v>3837</v>
      </c>
    </row>
    <row r="385" spans="1:20" ht="56" x14ac:dyDescent="0.35">
      <c r="A385" s="26" t="s">
        <v>1971</v>
      </c>
      <c r="B385" s="12" t="s">
        <v>1972</v>
      </c>
      <c r="C385" s="12" t="s">
        <v>122</v>
      </c>
      <c r="D385" s="12" t="s">
        <v>33</v>
      </c>
      <c r="E385" s="12"/>
      <c r="F385" s="28" t="s">
        <v>202</v>
      </c>
      <c r="G385" s="28" t="s">
        <v>1976</v>
      </c>
      <c r="H385" s="12" t="s">
        <v>204</v>
      </c>
      <c r="I385" s="12" t="s">
        <v>57</v>
      </c>
      <c r="J385" s="12" t="s">
        <v>58</v>
      </c>
      <c r="K385" s="12" t="s">
        <v>228</v>
      </c>
      <c r="L385" s="12" t="s">
        <v>198</v>
      </c>
      <c r="M385" s="12" t="s">
        <v>1973</v>
      </c>
      <c r="N385" s="12" t="s">
        <v>1974</v>
      </c>
      <c r="O385" s="12" t="s">
        <v>1975</v>
      </c>
      <c r="P385" s="12" t="s">
        <v>3330</v>
      </c>
      <c r="Q385" s="12" t="s">
        <v>3838</v>
      </c>
      <c r="R385" s="12" t="s">
        <v>3250</v>
      </c>
      <c r="S385" s="12"/>
      <c r="T385" s="12" t="s">
        <v>3839</v>
      </c>
    </row>
    <row r="386" spans="1:20" ht="28" x14ac:dyDescent="0.35">
      <c r="A386" s="12" t="s">
        <v>1977</v>
      </c>
      <c r="B386" s="12" t="s">
        <v>1978</v>
      </c>
      <c r="C386" s="12" t="s">
        <v>122</v>
      </c>
      <c r="D386" s="12" t="s">
        <v>33</v>
      </c>
      <c r="E386" s="12"/>
      <c r="F386" s="28" t="s">
        <v>202</v>
      </c>
      <c r="G386" s="28" t="s">
        <v>229</v>
      </c>
      <c r="H386" s="12" t="s">
        <v>204</v>
      </c>
      <c r="I386" s="12" t="s">
        <v>53</v>
      </c>
      <c r="J386" s="12" t="s">
        <v>54</v>
      </c>
      <c r="K386" s="12" t="s">
        <v>228</v>
      </c>
      <c r="L386" s="12" t="s">
        <v>198</v>
      </c>
      <c r="M386" s="12" t="s">
        <v>1979</v>
      </c>
      <c r="N386" s="12" t="s">
        <v>1974</v>
      </c>
      <c r="O386" s="12" t="s">
        <v>1975</v>
      </c>
      <c r="P386" s="12"/>
      <c r="Q386" s="12"/>
      <c r="R386" s="12" t="s">
        <v>3250</v>
      </c>
      <c r="S386" s="12"/>
      <c r="T386" s="12" t="s">
        <v>3840</v>
      </c>
    </row>
    <row r="387" spans="1:20" ht="28" x14ac:dyDescent="0.35">
      <c r="A387" s="12" t="s">
        <v>1980</v>
      </c>
      <c r="B387" s="12" t="s">
        <v>1981</v>
      </c>
      <c r="C387" s="12" t="s">
        <v>122</v>
      </c>
      <c r="D387" s="12" t="s">
        <v>33</v>
      </c>
      <c r="E387" s="12"/>
      <c r="F387" s="28" t="s">
        <v>202</v>
      </c>
      <c r="G387" s="28" t="s">
        <v>229</v>
      </c>
      <c r="H387" s="12" t="s">
        <v>204</v>
      </c>
      <c r="I387" s="12" t="s">
        <v>53</v>
      </c>
      <c r="J387" s="12" t="s">
        <v>54</v>
      </c>
      <c r="K387" s="12" t="s">
        <v>308</v>
      </c>
      <c r="L387" s="12" t="s">
        <v>259</v>
      </c>
      <c r="M387" s="12" t="s">
        <v>1982</v>
      </c>
      <c r="N387" s="12" t="s">
        <v>1983</v>
      </c>
      <c r="O387" s="12" t="s">
        <v>1975</v>
      </c>
      <c r="P387" s="12"/>
      <c r="Q387" s="12"/>
      <c r="R387" s="12" t="s">
        <v>3250</v>
      </c>
      <c r="S387" s="12"/>
      <c r="T387" s="12" t="s">
        <v>3841</v>
      </c>
    </row>
    <row r="388" spans="1:20" x14ac:dyDescent="0.35">
      <c r="A388" s="12" t="s">
        <v>1984</v>
      </c>
      <c r="B388" s="12" t="s">
        <v>1985</v>
      </c>
      <c r="C388" s="12" t="s">
        <v>122</v>
      </c>
      <c r="D388" s="12" t="s">
        <v>33</v>
      </c>
      <c r="E388" s="12"/>
      <c r="F388" s="28" t="s">
        <v>209</v>
      </c>
      <c r="G388" s="28" t="s">
        <v>1989</v>
      </c>
      <c r="H388" s="12" t="s">
        <v>1990</v>
      </c>
      <c r="I388" s="12" t="s">
        <v>61</v>
      </c>
      <c r="J388" s="12" t="s">
        <v>62</v>
      </c>
      <c r="K388" s="12" t="s">
        <v>228</v>
      </c>
      <c r="L388" s="12" t="s">
        <v>198</v>
      </c>
      <c r="M388" s="12" t="s">
        <v>1986</v>
      </c>
      <c r="N388" s="12" t="s">
        <v>1987</v>
      </c>
      <c r="O388" s="12" t="s">
        <v>1988</v>
      </c>
      <c r="P388" s="12"/>
      <c r="Q388" s="12"/>
      <c r="R388" s="12"/>
      <c r="S388" s="12" t="s">
        <v>3842</v>
      </c>
      <c r="T388" s="12" t="s">
        <v>3843</v>
      </c>
    </row>
    <row r="389" spans="1:20" x14ac:dyDescent="0.35">
      <c r="A389" s="12" t="s">
        <v>1991</v>
      </c>
      <c r="B389" s="12" t="s">
        <v>1992</v>
      </c>
      <c r="C389" s="12" t="s">
        <v>122</v>
      </c>
      <c r="D389" s="12" t="s">
        <v>33</v>
      </c>
      <c r="E389" s="12"/>
      <c r="F389" s="28" t="s">
        <v>209</v>
      </c>
      <c r="G389" s="28" t="s">
        <v>1993</v>
      </c>
      <c r="H389" s="12" t="s">
        <v>1994</v>
      </c>
      <c r="I389" s="12" t="s">
        <v>61</v>
      </c>
      <c r="J389" s="12" t="s">
        <v>62</v>
      </c>
      <c r="K389" s="12" t="s">
        <v>228</v>
      </c>
      <c r="L389" s="12" t="s">
        <v>198</v>
      </c>
      <c r="M389" s="12" t="s">
        <v>1986</v>
      </c>
      <c r="N389" s="12" t="s">
        <v>1987</v>
      </c>
      <c r="O389" s="12" t="s">
        <v>1988</v>
      </c>
      <c r="P389" s="12"/>
      <c r="Q389" s="12"/>
      <c r="R389" s="12"/>
      <c r="S389" s="12" t="s">
        <v>3844</v>
      </c>
      <c r="T389" s="12" t="s">
        <v>3751</v>
      </c>
    </row>
    <row r="390" spans="1:20" ht="84" x14ac:dyDescent="0.35">
      <c r="A390" s="12" t="s">
        <v>1995</v>
      </c>
      <c r="B390" s="12" t="s">
        <v>1996</v>
      </c>
      <c r="C390" s="12" t="s">
        <v>122</v>
      </c>
      <c r="D390" s="12" t="s">
        <v>33</v>
      </c>
      <c r="E390" s="12"/>
      <c r="F390" s="28" t="s">
        <v>694</v>
      </c>
      <c r="G390" s="28" t="s">
        <v>1998</v>
      </c>
      <c r="H390" s="12" t="s">
        <v>1999</v>
      </c>
      <c r="I390" s="12" t="s">
        <v>53</v>
      </c>
      <c r="J390" s="12" t="s">
        <v>54</v>
      </c>
      <c r="K390" s="12" t="s">
        <v>308</v>
      </c>
      <c r="L390" s="12" t="s">
        <v>259</v>
      </c>
      <c r="M390" s="12" t="s">
        <v>1986</v>
      </c>
      <c r="N390" s="12" t="s">
        <v>1997</v>
      </c>
      <c r="O390" s="12" t="s">
        <v>1988</v>
      </c>
      <c r="P390" s="12"/>
      <c r="Q390" s="12"/>
      <c r="R390" s="12"/>
      <c r="S390" s="12" t="s">
        <v>3845</v>
      </c>
      <c r="T390" s="12" t="s">
        <v>3846</v>
      </c>
    </row>
    <row r="391" spans="1:20" ht="28" x14ac:dyDescent="0.35">
      <c r="A391" s="26" t="s">
        <v>2000</v>
      </c>
      <c r="B391" s="12" t="s">
        <v>2001</v>
      </c>
      <c r="C391" s="12" t="s">
        <v>122</v>
      </c>
      <c r="D391" s="12" t="s">
        <v>33</v>
      </c>
      <c r="E391" s="12"/>
      <c r="F391" s="28" t="s">
        <v>202</v>
      </c>
      <c r="G391" s="28" t="s">
        <v>2005</v>
      </c>
      <c r="H391" s="12" t="s">
        <v>204</v>
      </c>
      <c r="I391" s="12" t="s">
        <v>83</v>
      </c>
      <c r="J391" s="12" t="s">
        <v>84</v>
      </c>
      <c r="K391" s="12" t="s">
        <v>228</v>
      </c>
      <c r="L391" s="12" t="s">
        <v>198</v>
      </c>
      <c r="M391" s="12" t="s">
        <v>2002</v>
      </c>
      <c r="N391" s="12" t="s">
        <v>2003</v>
      </c>
      <c r="O391" s="12" t="s">
        <v>2004</v>
      </c>
      <c r="P391" s="12" t="s">
        <v>3330</v>
      </c>
      <c r="Q391" s="12" t="s">
        <v>3847</v>
      </c>
      <c r="R391" s="12" t="s">
        <v>3473</v>
      </c>
      <c r="S391" s="12" t="s">
        <v>3848</v>
      </c>
      <c r="T391" s="12" t="s">
        <v>3670</v>
      </c>
    </row>
    <row r="392" spans="1:20" ht="56" x14ac:dyDescent="0.35">
      <c r="A392" s="12" t="s">
        <v>2006</v>
      </c>
      <c r="B392" s="12" t="s">
        <v>2007</v>
      </c>
      <c r="C392" s="12" t="s">
        <v>122</v>
      </c>
      <c r="D392" s="12" t="s">
        <v>33</v>
      </c>
      <c r="E392" s="12"/>
      <c r="F392" s="28" t="s">
        <v>202</v>
      </c>
      <c r="G392" s="28" t="s">
        <v>2011</v>
      </c>
      <c r="H392" s="12" t="s">
        <v>204</v>
      </c>
      <c r="I392" s="12" t="s">
        <v>55</v>
      </c>
      <c r="J392" s="12" t="s">
        <v>56</v>
      </c>
      <c r="K392" s="12" t="s">
        <v>331</v>
      </c>
      <c r="L392" s="12" t="s">
        <v>239</v>
      </c>
      <c r="M392" s="12" t="s">
        <v>2008</v>
      </c>
      <c r="N392" s="12" t="s">
        <v>2009</v>
      </c>
      <c r="O392" s="12" t="s">
        <v>2010</v>
      </c>
      <c r="P392" s="12"/>
      <c r="Q392" s="12"/>
      <c r="R392" s="12" t="s">
        <v>3266</v>
      </c>
      <c r="S392" s="12" t="s">
        <v>3849</v>
      </c>
      <c r="T392" s="12" t="s">
        <v>3850</v>
      </c>
    </row>
    <row r="393" spans="1:20" ht="56" x14ac:dyDescent="0.35">
      <c r="A393" s="12" t="s">
        <v>2012</v>
      </c>
      <c r="B393" s="12" t="s">
        <v>2013</v>
      </c>
      <c r="C393" s="12" t="s">
        <v>122</v>
      </c>
      <c r="D393" s="12" t="s">
        <v>33</v>
      </c>
      <c r="E393" s="12"/>
      <c r="F393" s="28" t="s">
        <v>202</v>
      </c>
      <c r="G393" s="28" t="s">
        <v>2016</v>
      </c>
      <c r="H393" s="12" t="s">
        <v>204</v>
      </c>
      <c r="I393" s="12" t="s">
        <v>69</v>
      </c>
      <c r="J393" s="12" t="s">
        <v>70</v>
      </c>
      <c r="K393" s="12" t="s">
        <v>308</v>
      </c>
      <c r="L393" s="12" t="s">
        <v>259</v>
      </c>
      <c r="M393" s="12" t="s">
        <v>2014</v>
      </c>
      <c r="N393" s="12" t="s">
        <v>2015</v>
      </c>
      <c r="O393" s="12" t="s">
        <v>2010</v>
      </c>
      <c r="P393" s="12"/>
      <c r="Q393" s="12"/>
      <c r="R393" s="12" t="s">
        <v>3250</v>
      </c>
      <c r="S393" s="12"/>
      <c r="T393" s="12" t="s">
        <v>3851</v>
      </c>
    </row>
    <row r="394" spans="1:20" x14ac:dyDescent="0.35">
      <c r="A394" s="12" t="s">
        <v>2017</v>
      </c>
      <c r="B394" s="12" t="s">
        <v>2018</v>
      </c>
      <c r="C394" s="12" t="s">
        <v>122</v>
      </c>
      <c r="D394" s="12" t="s">
        <v>33</v>
      </c>
      <c r="E394" s="12"/>
      <c r="F394" s="28" t="s">
        <v>209</v>
      </c>
      <c r="G394" s="28" t="s">
        <v>2022</v>
      </c>
      <c r="H394" s="12" t="s">
        <v>2023</v>
      </c>
      <c r="I394" s="12" t="s">
        <v>53</v>
      </c>
      <c r="J394" s="12" t="s">
        <v>54</v>
      </c>
      <c r="K394" s="12" t="s">
        <v>228</v>
      </c>
      <c r="L394" s="12" t="s">
        <v>198</v>
      </c>
      <c r="M394" s="12" t="s">
        <v>2019</v>
      </c>
      <c r="N394" s="12" t="s">
        <v>2020</v>
      </c>
      <c r="O394" s="12" t="s">
        <v>2021</v>
      </c>
      <c r="P394" s="12"/>
      <c r="Q394" s="12"/>
      <c r="R394" s="12"/>
      <c r="S394" s="12"/>
      <c r="T394" s="12" t="s">
        <v>3852</v>
      </c>
    </row>
    <row r="395" spans="1:20" ht="42" x14ac:dyDescent="0.35">
      <c r="A395" s="12" t="s">
        <v>2024</v>
      </c>
      <c r="B395" s="12" t="s">
        <v>2025</v>
      </c>
      <c r="C395" s="12" t="s">
        <v>122</v>
      </c>
      <c r="D395" s="12" t="s">
        <v>33</v>
      </c>
      <c r="E395" s="12"/>
      <c r="F395" s="28" t="s">
        <v>202</v>
      </c>
      <c r="G395" s="28" t="s">
        <v>937</v>
      </c>
      <c r="H395" s="12" t="s">
        <v>204</v>
      </c>
      <c r="I395" s="12" t="s">
        <v>55</v>
      </c>
      <c r="J395" s="12" t="s">
        <v>56</v>
      </c>
      <c r="K395" s="12" t="s">
        <v>228</v>
      </c>
      <c r="L395" s="12" t="s">
        <v>198</v>
      </c>
      <c r="M395" s="12" t="s">
        <v>2026</v>
      </c>
      <c r="N395" s="12" t="s">
        <v>2027</v>
      </c>
      <c r="O395" s="12" t="s">
        <v>2021</v>
      </c>
      <c r="P395" s="12"/>
      <c r="Q395" s="12"/>
      <c r="R395" s="12" t="s">
        <v>3250</v>
      </c>
      <c r="S395" s="12"/>
      <c r="T395" s="12" t="s">
        <v>3853</v>
      </c>
    </row>
    <row r="396" spans="1:20" ht="70" x14ac:dyDescent="0.35">
      <c r="A396" s="12" t="s">
        <v>2028</v>
      </c>
      <c r="B396" s="12" t="s">
        <v>2029</v>
      </c>
      <c r="C396" s="12" t="s">
        <v>122</v>
      </c>
      <c r="D396" s="12" t="s">
        <v>33</v>
      </c>
      <c r="E396" s="12"/>
      <c r="F396" s="28" t="s">
        <v>202</v>
      </c>
      <c r="G396" s="28" t="s">
        <v>2032</v>
      </c>
      <c r="H396" s="12" t="s">
        <v>204</v>
      </c>
      <c r="I396" s="12" t="s">
        <v>55</v>
      </c>
      <c r="J396" s="12" t="s">
        <v>56</v>
      </c>
      <c r="K396" s="12" t="s">
        <v>228</v>
      </c>
      <c r="L396" s="12" t="s">
        <v>198</v>
      </c>
      <c r="M396" s="12" t="s">
        <v>2030</v>
      </c>
      <c r="N396" s="12" t="s">
        <v>2031</v>
      </c>
      <c r="O396" s="12" t="s">
        <v>2021</v>
      </c>
      <c r="P396" s="12"/>
      <c r="Q396" s="12"/>
      <c r="R396" s="12" t="s">
        <v>3250</v>
      </c>
      <c r="S396" s="12"/>
      <c r="T396" s="12" t="s">
        <v>3854</v>
      </c>
    </row>
    <row r="397" spans="1:20" ht="28" x14ac:dyDescent="0.35">
      <c r="A397" s="12" t="s">
        <v>2033</v>
      </c>
      <c r="B397" s="12" t="s">
        <v>2034</v>
      </c>
      <c r="C397" s="12" t="s">
        <v>122</v>
      </c>
      <c r="D397" s="12" t="s">
        <v>38</v>
      </c>
      <c r="E397" s="12"/>
      <c r="F397" s="28" t="s">
        <v>209</v>
      </c>
      <c r="G397" s="28" t="s">
        <v>2037</v>
      </c>
      <c r="H397" s="12" t="s">
        <v>2038</v>
      </c>
      <c r="I397" s="12" t="s">
        <v>53</v>
      </c>
      <c r="J397" s="12" t="s">
        <v>54</v>
      </c>
      <c r="K397" s="12" t="s">
        <v>228</v>
      </c>
      <c r="L397" s="12" t="s">
        <v>198</v>
      </c>
      <c r="M397" s="12" t="s">
        <v>2035</v>
      </c>
      <c r="N397" s="12" t="s">
        <v>2036</v>
      </c>
      <c r="O397" s="12" t="s">
        <v>2021</v>
      </c>
      <c r="P397" s="12"/>
      <c r="Q397" s="12"/>
      <c r="R397" s="12"/>
      <c r="S397" s="12"/>
      <c r="T397" s="12" t="s">
        <v>3855</v>
      </c>
    </row>
    <row r="398" spans="1:20" ht="56" x14ac:dyDescent="0.35">
      <c r="A398" s="12" t="s">
        <v>2039</v>
      </c>
      <c r="B398" s="12" t="s">
        <v>1379</v>
      </c>
      <c r="C398" s="12" t="s">
        <v>122</v>
      </c>
      <c r="D398" s="12" t="s">
        <v>33</v>
      </c>
      <c r="E398" s="12"/>
      <c r="F398" s="28" t="s">
        <v>202</v>
      </c>
      <c r="G398" s="28" t="s">
        <v>2042</v>
      </c>
      <c r="H398" s="12" t="s">
        <v>204</v>
      </c>
      <c r="I398" s="12" t="s">
        <v>55</v>
      </c>
      <c r="J398" s="12" t="s">
        <v>56</v>
      </c>
      <c r="K398" s="12" t="s">
        <v>331</v>
      </c>
      <c r="L398" s="12" t="s">
        <v>239</v>
      </c>
      <c r="M398" s="12" t="s">
        <v>2040</v>
      </c>
      <c r="N398" s="12" t="s">
        <v>2041</v>
      </c>
      <c r="O398" s="12" t="s">
        <v>2021</v>
      </c>
      <c r="P398" s="12"/>
      <c r="Q398" s="12"/>
      <c r="R398" s="12" t="s">
        <v>3250</v>
      </c>
      <c r="S398" s="12" t="s">
        <v>3856</v>
      </c>
      <c r="T398" s="12" t="s">
        <v>3857</v>
      </c>
    </row>
    <row r="399" spans="1:20" x14ac:dyDescent="0.35">
      <c r="A399" s="12" t="s">
        <v>2043</v>
      </c>
      <c r="B399" s="12" t="s">
        <v>2044</v>
      </c>
      <c r="C399" s="12" t="s">
        <v>122</v>
      </c>
      <c r="D399" s="12" t="s">
        <v>33</v>
      </c>
      <c r="E399" s="12"/>
      <c r="F399" s="28" t="s">
        <v>209</v>
      </c>
      <c r="G399" s="28" t="s">
        <v>2047</v>
      </c>
      <c r="H399" s="12" t="s">
        <v>2048</v>
      </c>
      <c r="I399" s="12" t="s">
        <v>53</v>
      </c>
      <c r="J399" s="12" t="s">
        <v>54</v>
      </c>
      <c r="K399" s="12" t="s">
        <v>308</v>
      </c>
      <c r="L399" s="12" t="s">
        <v>259</v>
      </c>
      <c r="M399" s="12" t="s">
        <v>2045</v>
      </c>
      <c r="N399" s="12" t="s">
        <v>2046</v>
      </c>
      <c r="O399" s="12" t="s">
        <v>2021</v>
      </c>
      <c r="P399" s="12"/>
      <c r="Q399" s="12"/>
      <c r="R399" s="12"/>
      <c r="S399" s="12" t="s">
        <v>3858</v>
      </c>
      <c r="T399" s="12" t="s">
        <v>3859</v>
      </c>
    </row>
    <row r="400" spans="1:20" ht="28" x14ac:dyDescent="0.35">
      <c r="A400" s="12" t="s">
        <v>2049</v>
      </c>
      <c r="B400" s="12" t="s">
        <v>2050</v>
      </c>
      <c r="C400" s="12" t="s">
        <v>122</v>
      </c>
      <c r="D400" s="12" t="s">
        <v>33</v>
      </c>
      <c r="E400" s="12"/>
      <c r="F400" s="28" t="s">
        <v>209</v>
      </c>
      <c r="G400" s="28" t="s">
        <v>2053</v>
      </c>
      <c r="H400" s="12" t="s">
        <v>2054</v>
      </c>
      <c r="I400" s="12" t="s">
        <v>55</v>
      </c>
      <c r="J400" s="12" t="s">
        <v>56</v>
      </c>
      <c r="K400" s="12" t="s">
        <v>308</v>
      </c>
      <c r="L400" s="12" t="s">
        <v>259</v>
      </c>
      <c r="M400" s="12" t="s">
        <v>2051</v>
      </c>
      <c r="N400" s="12" t="s">
        <v>2052</v>
      </c>
      <c r="O400" s="12" t="s">
        <v>2021</v>
      </c>
      <c r="P400" s="12"/>
      <c r="Q400" s="12"/>
      <c r="R400" s="12"/>
      <c r="S400" s="12"/>
      <c r="T400" s="12" t="s">
        <v>3353</v>
      </c>
    </row>
    <row r="401" spans="1:20" ht="28" x14ac:dyDescent="0.35">
      <c r="A401" s="12" t="s">
        <v>2055</v>
      </c>
      <c r="B401" s="12" t="s">
        <v>2056</v>
      </c>
      <c r="C401" s="12" t="s">
        <v>122</v>
      </c>
      <c r="D401" s="12" t="s">
        <v>33</v>
      </c>
      <c r="E401" s="12"/>
      <c r="F401" s="28" t="s">
        <v>694</v>
      </c>
      <c r="G401" s="28" t="s">
        <v>2057</v>
      </c>
      <c r="H401" s="12" t="s">
        <v>2058</v>
      </c>
      <c r="I401" s="12" t="s">
        <v>59</v>
      </c>
      <c r="J401" s="12" t="s">
        <v>60</v>
      </c>
      <c r="K401" s="12" t="s">
        <v>228</v>
      </c>
      <c r="L401" s="12" t="s">
        <v>198</v>
      </c>
      <c r="M401" s="12" t="s">
        <v>2019</v>
      </c>
      <c r="N401" s="12" t="s">
        <v>2020</v>
      </c>
      <c r="O401" s="12" t="s">
        <v>2021</v>
      </c>
      <c r="P401" s="12"/>
      <c r="Q401" s="12"/>
      <c r="R401" s="12"/>
      <c r="S401" s="12" t="s">
        <v>3860</v>
      </c>
      <c r="T401" s="12" t="s">
        <v>3861</v>
      </c>
    </row>
    <row r="402" spans="1:20" ht="28" x14ac:dyDescent="0.35">
      <c r="A402" s="12" t="s">
        <v>2059</v>
      </c>
      <c r="B402" s="12" t="s">
        <v>2060</v>
      </c>
      <c r="C402" s="12" t="s">
        <v>122</v>
      </c>
      <c r="D402" s="12" t="s">
        <v>33</v>
      </c>
      <c r="E402" s="12"/>
      <c r="F402" s="28" t="s">
        <v>202</v>
      </c>
      <c r="G402" s="28" t="s">
        <v>318</v>
      </c>
      <c r="H402" s="12" t="s">
        <v>204</v>
      </c>
      <c r="I402" s="12" t="s">
        <v>61</v>
      </c>
      <c r="J402" s="12" t="s">
        <v>62</v>
      </c>
      <c r="K402" s="12" t="s">
        <v>228</v>
      </c>
      <c r="L402" s="12" t="s">
        <v>198</v>
      </c>
      <c r="M402" s="12" t="s">
        <v>2061</v>
      </c>
      <c r="N402" s="12" t="s">
        <v>2062</v>
      </c>
      <c r="O402" s="12" t="s">
        <v>2021</v>
      </c>
      <c r="P402" s="12"/>
      <c r="Q402" s="12"/>
      <c r="R402" s="12" t="s">
        <v>3250</v>
      </c>
      <c r="S402" s="12" t="s">
        <v>3862</v>
      </c>
      <c r="T402" s="12" t="s">
        <v>3863</v>
      </c>
    </row>
    <row r="403" spans="1:20" ht="28" x14ac:dyDescent="0.35">
      <c r="A403" s="12" t="s">
        <v>2063</v>
      </c>
      <c r="B403" s="12" t="s">
        <v>2064</v>
      </c>
      <c r="C403" s="12" t="s">
        <v>122</v>
      </c>
      <c r="D403" s="12" t="s">
        <v>33</v>
      </c>
      <c r="E403" s="12"/>
      <c r="F403" s="28" t="s">
        <v>202</v>
      </c>
      <c r="G403" s="28" t="s">
        <v>229</v>
      </c>
      <c r="H403" s="12" t="s">
        <v>204</v>
      </c>
      <c r="I403" s="12" t="s">
        <v>53</v>
      </c>
      <c r="J403" s="12" t="s">
        <v>54</v>
      </c>
      <c r="K403" s="12" t="s">
        <v>308</v>
      </c>
      <c r="L403" s="12" t="s">
        <v>259</v>
      </c>
      <c r="M403" s="12" t="s">
        <v>2065</v>
      </c>
      <c r="N403" s="12" t="s">
        <v>2066</v>
      </c>
      <c r="O403" s="12" t="s">
        <v>2067</v>
      </c>
      <c r="P403" s="12"/>
      <c r="Q403" s="12"/>
      <c r="R403" s="12" t="s">
        <v>3250</v>
      </c>
      <c r="S403" s="12"/>
      <c r="T403" s="12" t="s">
        <v>3410</v>
      </c>
    </row>
    <row r="404" spans="1:20" ht="28" x14ac:dyDescent="0.35">
      <c r="A404" s="12" t="s">
        <v>2068</v>
      </c>
      <c r="B404" s="12" t="s">
        <v>2069</v>
      </c>
      <c r="C404" s="12" t="s">
        <v>122</v>
      </c>
      <c r="D404" s="12" t="s">
        <v>33</v>
      </c>
      <c r="E404" s="12"/>
      <c r="F404" s="28" t="s">
        <v>202</v>
      </c>
      <c r="G404" s="28" t="s">
        <v>2073</v>
      </c>
      <c r="H404" s="12" t="s">
        <v>204</v>
      </c>
      <c r="I404" s="12" t="s">
        <v>71</v>
      </c>
      <c r="J404" s="12" t="s">
        <v>72</v>
      </c>
      <c r="K404" s="12" t="s">
        <v>228</v>
      </c>
      <c r="L404" s="12" t="s">
        <v>198</v>
      </c>
      <c r="M404" s="12" t="s">
        <v>2070</v>
      </c>
      <c r="N404" s="12" t="s">
        <v>2071</v>
      </c>
      <c r="O404" s="12" t="s">
        <v>2072</v>
      </c>
      <c r="P404" s="12"/>
      <c r="Q404" s="12"/>
      <c r="R404" s="12" t="s">
        <v>3313</v>
      </c>
      <c r="S404" s="12" t="s">
        <v>3864</v>
      </c>
      <c r="T404" s="12" t="s">
        <v>3865</v>
      </c>
    </row>
    <row r="405" spans="1:20" ht="42" x14ac:dyDescent="0.35">
      <c r="A405" s="12" t="s">
        <v>2532</v>
      </c>
      <c r="B405" s="12" t="s">
        <v>2533</v>
      </c>
      <c r="C405" s="12" t="s">
        <v>122</v>
      </c>
      <c r="D405" s="12" t="s">
        <v>33</v>
      </c>
      <c r="E405" s="12" t="s">
        <v>2409</v>
      </c>
      <c r="F405" s="28" t="s">
        <v>202</v>
      </c>
      <c r="G405" s="28" t="s">
        <v>2536</v>
      </c>
      <c r="H405" s="12" t="s">
        <v>204</v>
      </c>
      <c r="I405" s="12" t="s">
        <v>59</v>
      </c>
      <c r="J405" s="12" t="s">
        <v>60</v>
      </c>
      <c r="K405" s="12" t="s">
        <v>308</v>
      </c>
      <c r="L405" s="12" t="s">
        <v>259</v>
      </c>
      <c r="M405" s="12" t="s">
        <v>2534</v>
      </c>
      <c r="N405" s="12" t="s">
        <v>2535</v>
      </c>
      <c r="O405" s="12" t="s">
        <v>2072</v>
      </c>
      <c r="P405" s="12"/>
      <c r="Q405" s="12"/>
      <c r="R405" s="12" t="s">
        <v>3250</v>
      </c>
      <c r="S405" s="12"/>
      <c r="T405" s="12" t="s">
        <v>3866</v>
      </c>
    </row>
    <row r="406" spans="1:20" ht="28" x14ac:dyDescent="0.35">
      <c r="A406" s="12" t="s">
        <v>2074</v>
      </c>
      <c r="B406" s="12" t="s">
        <v>2075</v>
      </c>
      <c r="C406" s="12" t="s">
        <v>122</v>
      </c>
      <c r="D406" s="12" t="s">
        <v>33</v>
      </c>
      <c r="E406" s="12"/>
      <c r="F406" s="28" t="s">
        <v>202</v>
      </c>
      <c r="G406" s="28" t="s">
        <v>2078</v>
      </c>
      <c r="H406" s="12" t="s">
        <v>204</v>
      </c>
      <c r="I406" s="12" t="s">
        <v>69</v>
      </c>
      <c r="J406" s="12" t="s">
        <v>70</v>
      </c>
      <c r="K406" s="12" t="s">
        <v>308</v>
      </c>
      <c r="L406" s="12" t="s">
        <v>259</v>
      </c>
      <c r="M406" s="12" t="s">
        <v>2076</v>
      </c>
      <c r="N406" s="12" t="s">
        <v>2077</v>
      </c>
      <c r="O406" s="12" t="s">
        <v>2072</v>
      </c>
      <c r="P406" s="12"/>
      <c r="Q406" s="12"/>
      <c r="R406" s="12" t="s">
        <v>3250</v>
      </c>
      <c r="S406" s="12" t="s">
        <v>3867</v>
      </c>
      <c r="T406" s="12" t="s">
        <v>3868</v>
      </c>
    </row>
    <row r="407" spans="1:20" ht="42" x14ac:dyDescent="0.35">
      <c r="A407" s="12" t="s">
        <v>2079</v>
      </c>
      <c r="B407" s="12" t="s">
        <v>2080</v>
      </c>
      <c r="C407" s="12" t="s">
        <v>122</v>
      </c>
      <c r="D407" s="12" t="s">
        <v>33</v>
      </c>
      <c r="E407" s="12"/>
      <c r="F407" s="28" t="s">
        <v>202</v>
      </c>
      <c r="G407" s="28" t="s">
        <v>1454</v>
      </c>
      <c r="H407" s="12" t="s">
        <v>204</v>
      </c>
      <c r="I407" s="12" t="s">
        <v>55</v>
      </c>
      <c r="J407" s="12" t="s">
        <v>56</v>
      </c>
      <c r="K407" s="12" t="s">
        <v>308</v>
      </c>
      <c r="L407" s="12" t="s">
        <v>259</v>
      </c>
      <c r="M407" s="12" t="s">
        <v>2081</v>
      </c>
      <c r="N407" s="12" t="s">
        <v>2082</v>
      </c>
      <c r="O407" s="12" t="s">
        <v>2072</v>
      </c>
      <c r="P407" s="12"/>
      <c r="Q407" s="12"/>
      <c r="R407" s="12" t="s">
        <v>3250</v>
      </c>
      <c r="S407" s="12"/>
      <c r="T407" s="12" t="s">
        <v>3837</v>
      </c>
    </row>
    <row r="408" spans="1:20" ht="28" x14ac:dyDescent="0.35">
      <c r="A408" s="12" t="s">
        <v>2083</v>
      </c>
      <c r="B408" s="12" t="s">
        <v>2084</v>
      </c>
      <c r="C408" s="12" t="s">
        <v>122</v>
      </c>
      <c r="D408" s="12" t="s">
        <v>33</v>
      </c>
      <c r="E408" s="12"/>
      <c r="F408" s="28" t="s">
        <v>202</v>
      </c>
      <c r="G408" s="28" t="s">
        <v>229</v>
      </c>
      <c r="H408" s="12" t="s">
        <v>204</v>
      </c>
      <c r="I408" s="12" t="s">
        <v>53</v>
      </c>
      <c r="J408" s="12" t="s">
        <v>54</v>
      </c>
      <c r="K408" s="12" t="s">
        <v>308</v>
      </c>
      <c r="L408" s="12" t="s">
        <v>259</v>
      </c>
      <c r="M408" s="12" t="s">
        <v>2085</v>
      </c>
      <c r="N408" s="12" t="s">
        <v>2086</v>
      </c>
      <c r="O408" s="12" t="s">
        <v>2072</v>
      </c>
      <c r="P408" s="12"/>
      <c r="Q408" s="12"/>
      <c r="R408" s="12" t="s">
        <v>3250</v>
      </c>
      <c r="S408" s="12"/>
      <c r="T408" s="12" t="s">
        <v>3869</v>
      </c>
    </row>
    <row r="409" spans="1:20" ht="42" x14ac:dyDescent="0.35">
      <c r="A409" s="12" t="s">
        <v>2087</v>
      </c>
      <c r="B409" s="12" t="s">
        <v>2088</v>
      </c>
      <c r="C409" s="12" t="s">
        <v>122</v>
      </c>
      <c r="D409" s="12" t="s">
        <v>33</v>
      </c>
      <c r="E409" s="12"/>
      <c r="F409" s="28" t="s">
        <v>202</v>
      </c>
      <c r="G409" s="28" t="s">
        <v>937</v>
      </c>
      <c r="H409" s="12" t="s">
        <v>204</v>
      </c>
      <c r="I409" s="12" t="s">
        <v>55</v>
      </c>
      <c r="J409" s="12" t="s">
        <v>56</v>
      </c>
      <c r="K409" s="12" t="s">
        <v>331</v>
      </c>
      <c r="L409" s="12" t="s">
        <v>239</v>
      </c>
      <c r="M409" s="12" t="s">
        <v>2089</v>
      </c>
      <c r="N409" s="12" t="s">
        <v>2090</v>
      </c>
      <c r="O409" s="12" t="s">
        <v>2072</v>
      </c>
      <c r="P409" s="12"/>
      <c r="Q409" s="12"/>
      <c r="R409" s="12" t="s">
        <v>3250</v>
      </c>
      <c r="S409" s="12"/>
      <c r="T409" s="12" t="s">
        <v>3441</v>
      </c>
    </row>
    <row r="410" spans="1:20" ht="56" x14ac:dyDescent="0.35">
      <c r="A410" s="12" t="s">
        <v>2091</v>
      </c>
      <c r="B410" s="12" t="s">
        <v>2092</v>
      </c>
      <c r="C410" s="12" t="s">
        <v>122</v>
      </c>
      <c r="D410" s="12" t="s">
        <v>33</v>
      </c>
      <c r="E410" s="12"/>
      <c r="F410" s="28" t="s">
        <v>202</v>
      </c>
      <c r="G410" s="28" t="s">
        <v>2095</v>
      </c>
      <c r="H410" s="12" t="s">
        <v>204</v>
      </c>
      <c r="I410" s="12" t="s">
        <v>53</v>
      </c>
      <c r="J410" s="12" t="s">
        <v>54</v>
      </c>
      <c r="K410" s="12" t="s">
        <v>308</v>
      </c>
      <c r="L410" s="12" t="s">
        <v>259</v>
      </c>
      <c r="M410" s="12" t="s">
        <v>2093</v>
      </c>
      <c r="N410" s="12" t="s">
        <v>2094</v>
      </c>
      <c r="O410" s="12" t="s">
        <v>2072</v>
      </c>
      <c r="P410" s="12"/>
      <c r="Q410" s="12"/>
      <c r="R410" s="12" t="s">
        <v>3250</v>
      </c>
      <c r="S410" s="12"/>
      <c r="T410" s="12" t="s">
        <v>3870</v>
      </c>
    </row>
    <row r="411" spans="1:20" ht="28" x14ac:dyDescent="0.35">
      <c r="A411" s="12" t="s">
        <v>2096</v>
      </c>
      <c r="B411" s="12" t="s">
        <v>2097</v>
      </c>
      <c r="C411" s="12" t="s">
        <v>122</v>
      </c>
      <c r="D411" s="12" t="s">
        <v>33</v>
      </c>
      <c r="E411" s="12"/>
      <c r="F411" s="28" t="s">
        <v>202</v>
      </c>
      <c r="G411" s="28" t="s">
        <v>371</v>
      </c>
      <c r="H411" s="12" t="s">
        <v>204</v>
      </c>
      <c r="I411" s="12" t="s">
        <v>55</v>
      </c>
      <c r="J411" s="12" t="s">
        <v>56</v>
      </c>
      <c r="K411" s="12" t="s">
        <v>308</v>
      </c>
      <c r="L411" s="12" t="s">
        <v>259</v>
      </c>
      <c r="M411" s="12" t="s">
        <v>2098</v>
      </c>
      <c r="N411" s="12" t="s">
        <v>2099</v>
      </c>
      <c r="O411" s="12" t="s">
        <v>2100</v>
      </c>
      <c r="P411" s="12"/>
      <c r="Q411" s="12"/>
      <c r="R411" s="12" t="s">
        <v>3250</v>
      </c>
      <c r="S411" s="12" t="s">
        <v>3871</v>
      </c>
      <c r="T411" s="12" t="s">
        <v>3872</v>
      </c>
    </row>
    <row r="412" spans="1:20" ht="28" x14ac:dyDescent="0.35">
      <c r="A412" s="12" t="s">
        <v>2101</v>
      </c>
      <c r="B412" s="12" t="s">
        <v>2102</v>
      </c>
      <c r="C412" s="12" t="s">
        <v>122</v>
      </c>
      <c r="D412" s="12" t="s">
        <v>33</v>
      </c>
      <c r="E412" s="12"/>
      <c r="F412" s="28" t="s">
        <v>202</v>
      </c>
      <c r="G412" s="28" t="s">
        <v>229</v>
      </c>
      <c r="H412" s="12" t="s">
        <v>204</v>
      </c>
      <c r="I412" s="12" t="s">
        <v>53</v>
      </c>
      <c r="J412" s="12" t="s">
        <v>54</v>
      </c>
      <c r="K412" s="12" t="s">
        <v>331</v>
      </c>
      <c r="L412" s="12" t="s">
        <v>239</v>
      </c>
      <c r="M412" s="12" t="s">
        <v>2103</v>
      </c>
      <c r="N412" s="12" t="s">
        <v>2104</v>
      </c>
      <c r="O412" s="12" t="s">
        <v>2105</v>
      </c>
      <c r="P412" s="12"/>
      <c r="Q412" s="12"/>
      <c r="R412" s="12" t="s">
        <v>3250</v>
      </c>
      <c r="S412" s="12"/>
      <c r="T412" s="12" t="s">
        <v>3382</v>
      </c>
    </row>
    <row r="413" spans="1:20" x14ac:dyDescent="0.35">
      <c r="A413" s="12" t="s">
        <v>2537</v>
      </c>
      <c r="B413" s="12" t="s">
        <v>2538</v>
      </c>
      <c r="C413" s="12" t="s">
        <v>122</v>
      </c>
      <c r="D413" s="12" t="s">
        <v>33</v>
      </c>
      <c r="E413" s="12" t="s">
        <v>2414</v>
      </c>
      <c r="F413" s="28" t="s">
        <v>209</v>
      </c>
      <c r="G413" s="28" t="s">
        <v>2541</v>
      </c>
      <c r="H413" s="12" t="s">
        <v>2542</v>
      </c>
      <c r="I413" s="12" t="s">
        <v>59</v>
      </c>
      <c r="J413" s="12" t="s">
        <v>60</v>
      </c>
      <c r="K413" s="12" t="s">
        <v>308</v>
      </c>
      <c r="L413" s="12" t="s">
        <v>259</v>
      </c>
      <c r="M413" s="12" t="s">
        <v>2539</v>
      </c>
      <c r="N413" s="12" t="s">
        <v>2540</v>
      </c>
      <c r="O413" s="12" t="s">
        <v>2105</v>
      </c>
      <c r="P413" s="12" t="s">
        <v>3325</v>
      </c>
      <c r="Q413" s="12" t="s">
        <v>3873</v>
      </c>
      <c r="R413" s="12"/>
      <c r="S413" s="12"/>
      <c r="T413" s="12" t="s">
        <v>3874</v>
      </c>
    </row>
    <row r="414" spans="1:20" ht="28" x14ac:dyDescent="0.35">
      <c r="A414" s="12" t="s">
        <v>2106</v>
      </c>
      <c r="B414" s="12" t="s">
        <v>2107</v>
      </c>
      <c r="C414" s="12" t="s">
        <v>122</v>
      </c>
      <c r="D414" s="12" t="s">
        <v>33</v>
      </c>
      <c r="E414" s="12"/>
      <c r="F414" s="28" t="s">
        <v>202</v>
      </c>
      <c r="G414" s="28" t="s">
        <v>414</v>
      </c>
      <c r="H414" s="12" t="s">
        <v>204</v>
      </c>
      <c r="I414" s="12" t="s">
        <v>57</v>
      </c>
      <c r="J414" s="12" t="s">
        <v>58</v>
      </c>
      <c r="K414" s="12" t="s">
        <v>308</v>
      </c>
      <c r="L414" s="12" t="s">
        <v>259</v>
      </c>
      <c r="M414" s="12" t="s">
        <v>2108</v>
      </c>
      <c r="N414" s="12" t="s">
        <v>2109</v>
      </c>
      <c r="O414" s="12" t="s">
        <v>2105</v>
      </c>
      <c r="P414" s="12"/>
      <c r="Q414" s="12"/>
      <c r="R414" s="12" t="s">
        <v>3250</v>
      </c>
      <c r="S414" s="12" t="s">
        <v>3875</v>
      </c>
      <c r="T414" s="12" t="s">
        <v>3801</v>
      </c>
    </row>
    <row r="415" spans="1:20" ht="28" x14ac:dyDescent="0.35">
      <c r="A415" s="12" t="s">
        <v>2110</v>
      </c>
      <c r="B415" s="12" t="s">
        <v>2111</v>
      </c>
      <c r="C415" s="12" t="s">
        <v>122</v>
      </c>
      <c r="D415" s="12" t="s">
        <v>33</v>
      </c>
      <c r="E415" s="12"/>
      <c r="F415" s="28" t="s">
        <v>202</v>
      </c>
      <c r="G415" s="28" t="s">
        <v>229</v>
      </c>
      <c r="H415" s="12" t="s">
        <v>204</v>
      </c>
      <c r="I415" s="12" t="s">
        <v>53</v>
      </c>
      <c r="J415" s="12" t="s">
        <v>54</v>
      </c>
      <c r="K415" s="12" t="s">
        <v>228</v>
      </c>
      <c r="L415" s="12" t="s">
        <v>198</v>
      </c>
      <c r="M415" s="12" t="s">
        <v>2112</v>
      </c>
      <c r="N415" s="12" t="s">
        <v>2113</v>
      </c>
      <c r="O415" s="12" t="s">
        <v>2105</v>
      </c>
      <c r="P415" s="12"/>
      <c r="Q415" s="12"/>
      <c r="R415" s="12" t="s">
        <v>3250</v>
      </c>
      <c r="S415" s="12" t="s">
        <v>3876</v>
      </c>
      <c r="T415" s="12" t="s">
        <v>3877</v>
      </c>
    </row>
    <row r="416" spans="1:20" x14ac:dyDescent="0.35">
      <c r="A416" s="12" t="s">
        <v>2114</v>
      </c>
      <c r="B416" s="12" t="s">
        <v>2115</v>
      </c>
      <c r="C416" s="12" t="s">
        <v>122</v>
      </c>
      <c r="D416" s="12" t="s">
        <v>33</v>
      </c>
      <c r="E416" s="12"/>
      <c r="F416" s="28" t="s">
        <v>209</v>
      </c>
      <c r="G416" s="28" t="s">
        <v>2119</v>
      </c>
      <c r="H416" s="12" t="s">
        <v>2120</v>
      </c>
      <c r="I416" s="12" t="s">
        <v>63</v>
      </c>
      <c r="J416" s="12" t="s">
        <v>64</v>
      </c>
      <c r="K416" s="12" t="s">
        <v>228</v>
      </c>
      <c r="L416" s="12" t="s">
        <v>198</v>
      </c>
      <c r="M416" s="12" t="s">
        <v>2116</v>
      </c>
      <c r="N416" s="12" t="s">
        <v>2117</v>
      </c>
      <c r="O416" s="12" t="s">
        <v>2118</v>
      </c>
      <c r="P416" s="12"/>
      <c r="Q416" s="12"/>
      <c r="R416" s="12"/>
      <c r="S416" s="12" t="s">
        <v>3878</v>
      </c>
      <c r="T416" s="12" t="s">
        <v>3879</v>
      </c>
    </row>
    <row r="417" spans="1:20" ht="56" x14ac:dyDescent="0.35">
      <c r="A417" s="12" t="s">
        <v>2121</v>
      </c>
      <c r="B417" s="12" t="s">
        <v>2122</v>
      </c>
      <c r="C417" s="12" t="s">
        <v>122</v>
      </c>
      <c r="D417" s="12" t="s">
        <v>33</v>
      </c>
      <c r="E417" s="12"/>
      <c r="F417" s="28" t="s">
        <v>202</v>
      </c>
      <c r="G417" s="28" t="s">
        <v>2126</v>
      </c>
      <c r="H417" s="12" t="s">
        <v>204</v>
      </c>
      <c r="I417" s="12" t="s">
        <v>57</v>
      </c>
      <c r="J417" s="12" t="s">
        <v>58</v>
      </c>
      <c r="K417" s="12" t="s">
        <v>331</v>
      </c>
      <c r="L417" s="12" t="s">
        <v>239</v>
      </c>
      <c r="M417" s="12" t="s">
        <v>2123</v>
      </c>
      <c r="N417" s="12" t="s">
        <v>2124</v>
      </c>
      <c r="O417" s="12" t="s">
        <v>2125</v>
      </c>
      <c r="P417" s="12"/>
      <c r="Q417" s="12"/>
      <c r="R417" s="12" t="s">
        <v>3473</v>
      </c>
      <c r="S417" s="12" t="s">
        <v>3880</v>
      </c>
      <c r="T417" s="12" t="s">
        <v>3881</v>
      </c>
    </row>
    <row r="418" spans="1:20" ht="56" x14ac:dyDescent="0.35">
      <c r="A418" s="12" t="s">
        <v>2127</v>
      </c>
      <c r="B418" s="12" t="s">
        <v>2128</v>
      </c>
      <c r="C418" s="12" t="s">
        <v>122</v>
      </c>
      <c r="D418" s="12" t="s">
        <v>33</v>
      </c>
      <c r="E418" s="12"/>
      <c r="F418" s="28" t="s">
        <v>694</v>
      </c>
      <c r="G418" s="28" t="s">
        <v>2132</v>
      </c>
      <c r="H418" s="12" t="s">
        <v>2133</v>
      </c>
      <c r="I418" s="12" t="s">
        <v>57</v>
      </c>
      <c r="J418" s="12" t="s">
        <v>58</v>
      </c>
      <c r="K418" s="12" t="s">
        <v>228</v>
      </c>
      <c r="L418" s="12" t="s">
        <v>198</v>
      </c>
      <c r="M418" s="12" t="s">
        <v>2129</v>
      </c>
      <c r="N418" s="12" t="s">
        <v>2130</v>
      </c>
      <c r="O418" s="12" t="s">
        <v>2131</v>
      </c>
      <c r="P418" s="12"/>
      <c r="Q418" s="12"/>
      <c r="R418" s="12"/>
      <c r="S418" s="12" t="s">
        <v>3882</v>
      </c>
      <c r="T418" s="12" t="s">
        <v>3434</v>
      </c>
    </row>
    <row r="419" spans="1:20" ht="42" x14ac:dyDescent="0.35">
      <c r="A419" s="12" t="s">
        <v>2134</v>
      </c>
      <c r="B419" s="12" t="s">
        <v>2135</v>
      </c>
      <c r="C419" s="12" t="s">
        <v>122</v>
      </c>
      <c r="D419" s="12" t="s">
        <v>33</v>
      </c>
      <c r="E419" s="12"/>
      <c r="F419" s="28" t="s">
        <v>202</v>
      </c>
      <c r="G419" s="28" t="s">
        <v>2138</v>
      </c>
      <c r="H419" s="12" t="s">
        <v>204</v>
      </c>
      <c r="I419" s="12" t="s">
        <v>55</v>
      </c>
      <c r="J419" s="12" t="s">
        <v>56</v>
      </c>
      <c r="K419" s="12" t="s">
        <v>228</v>
      </c>
      <c r="L419" s="12" t="s">
        <v>198</v>
      </c>
      <c r="M419" s="12" t="s">
        <v>2136</v>
      </c>
      <c r="N419" s="12" t="s">
        <v>2137</v>
      </c>
      <c r="O419" s="12" t="s">
        <v>2131</v>
      </c>
      <c r="P419" s="12"/>
      <c r="Q419" s="12"/>
      <c r="R419" s="12" t="s">
        <v>3250</v>
      </c>
      <c r="S419" s="12"/>
      <c r="T419" s="12" t="s">
        <v>3883</v>
      </c>
    </row>
    <row r="420" spans="1:20" ht="28" x14ac:dyDescent="0.35">
      <c r="A420" s="12" t="s">
        <v>2139</v>
      </c>
      <c r="B420" s="12" t="s">
        <v>2140</v>
      </c>
      <c r="C420" s="12" t="s">
        <v>122</v>
      </c>
      <c r="D420" s="12" t="s">
        <v>33</v>
      </c>
      <c r="E420" s="12"/>
      <c r="F420" s="28" t="s">
        <v>202</v>
      </c>
      <c r="G420" s="28" t="s">
        <v>229</v>
      </c>
      <c r="H420" s="12" t="s">
        <v>204</v>
      </c>
      <c r="I420" s="12" t="s">
        <v>53</v>
      </c>
      <c r="J420" s="12" t="s">
        <v>54</v>
      </c>
      <c r="K420" s="12" t="s">
        <v>228</v>
      </c>
      <c r="L420" s="12" t="s">
        <v>198</v>
      </c>
      <c r="M420" s="12" t="s">
        <v>2141</v>
      </c>
      <c r="N420" s="12" t="s">
        <v>2142</v>
      </c>
      <c r="O420" s="12" t="s">
        <v>2131</v>
      </c>
      <c r="P420" s="12"/>
      <c r="Q420" s="12"/>
      <c r="R420" s="12" t="s">
        <v>3372</v>
      </c>
      <c r="S420" s="12" t="s">
        <v>3884</v>
      </c>
      <c r="T420" s="12" t="s">
        <v>3885</v>
      </c>
    </row>
    <row r="421" spans="1:20" x14ac:dyDescent="0.35">
      <c r="A421" s="12" t="s">
        <v>2143</v>
      </c>
      <c r="B421" s="12" t="s">
        <v>2144</v>
      </c>
      <c r="C421" s="12" t="s">
        <v>122</v>
      </c>
      <c r="D421" s="12" t="s">
        <v>33</v>
      </c>
      <c r="E421" s="12"/>
      <c r="F421" s="28" t="s">
        <v>209</v>
      </c>
      <c r="G421" s="28" t="s">
        <v>2147</v>
      </c>
      <c r="H421" s="12" t="s">
        <v>2148</v>
      </c>
      <c r="I421" s="12" t="s">
        <v>61</v>
      </c>
      <c r="J421" s="12" t="s">
        <v>62</v>
      </c>
      <c r="K421" s="12" t="s">
        <v>228</v>
      </c>
      <c r="L421" s="12" t="s">
        <v>198</v>
      </c>
      <c r="M421" s="12" t="s">
        <v>2145</v>
      </c>
      <c r="N421" s="12" t="s">
        <v>2146</v>
      </c>
      <c r="O421" s="12" t="s">
        <v>2131</v>
      </c>
      <c r="P421" s="12"/>
      <c r="Q421" s="12"/>
      <c r="R421" s="12"/>
      <c r="S421" s="12" t="s">
        <v>3886</v>
      </c>
      <c r="T421" s="12" t="s">
        <v>3887</v>
      </c>
    </row>
    <row r="422" spans="1:20" ht="28" x14ac:dyDescent="0.35">
      <c r="A422" s="12" t="s">
        <v>2149</v>
      </c>
      <c r="B422" s="12" t="s">
        <v>2150</v>
      </c>
      <c r="C422" s="12" t="s">
        <v>122</v>
      </c>
      <c r="D422" s="12" t="s">
        <v>33</v>
      </c>
      <c r="E422" s="12"/>
      <c r="F422" s="28" t="s">
        <v>202</v>
      </c>
      <c r="G422" s="28" t="s">
        <v>229</v>
      </c>
      <c r="H422" s="12" t="s">
        <v>204</v>
      </c>
      <c r="I422" s="12" t="s">
        <v>53</v>
      </c>
      <c r="J422" s="12" t="s">
        <v>54</v>
      </c>
      <c r="K422" s="12" t="s">
        <v>228</v>
      </c>
      <c r="L422" s="12" t="s">
        <v>198</v>
      </c>
      <c r="M422" s="12" t="s">
        <v>2151</v>
      </c>
      <c r="N422" s="12" t="s">
        <v>2152</v>
      </c>
      <c r="O422" s="12" t="s">
        <v>2131</v>
      </c>
      <c r="P422" s="12"/>
      <c r="Q422" s="12"/>
      <c r="R422" s="12" t="s">
        <v>3250</v>
      </c>
      <c r="S422" s="12" t="s">
        <v>3860</v>
      </c>
      <c r="T422" s="12" t="s">
        <v>3260</v>
      </c>
    </row>
    <row r="423" spans="1:20" x14ac:dyDescent="0.35">
      <c r="A423" s="12" t="s">
        <v>2153</v>
      </c>
      <c r="B423" s="12" t="s">
        <v>2154</v>
      </c>
      <c r="C423" s="12" t="s">
        <v>122</v>
      </c>
      <c r="D423" s="12" t="s">
        <v>33</v>
      </c>
      <c r="E423" s="12"/>
      <c r="F423" s="28" t="s">
        <v>209</v>
      </c>
      <c r="G423" s="28" t="s">
        <v>2157</v>
      </c>
      <c r="H423" s="12" t="s">
        <v>2158</v>
      </c>
      <c r="I423" s="12" t="s">
        <v>53</v>
      </c>
      <c r="J423" s="12" t="s">
        <v>54</v>
      </c>
      <c r="K423" s="12" t="s">
        <v>308</v>
      </c>
      <c r="L423" s="12" t="s">
        <v>259</v>
      </c>
      <c r="M423" s="12" t="s">
        <v>2155</v>
      </c>
      <c r="N423" s="12" t="s">
        <v>2156</v>
      </c>
      <c r="O423" s="12" t="s">
        <v>2131</v>
      </c>
      <c r="P423" s="12"/>
      <c r="Q423" s="12"/>
      <c r="R423" s="12"/>
      <c r="S423" s="12"/>
      <c r="T423" s="12" t="s">
        <v>3888</v>
      </c>
    </row>
    <row r="424" spans="1:20" x14ac:dyDescent="0.35">
      <c r="A424" s="12" t="s">
        <v>2159</v>
      </c>
      <c r="B424" s="12" t="s">
        <v>2160</v>
      </c>
      <c r="C424" s="12" t="s">
        <v>122</v>
      </c>
      <c r="D424" s="12" t="s">
        <v>33</v>
      </c>
      <c r="E424" s="12"/>
      <c r="F424" s="28" t="s">
        <v>209</v>
      </c>
      <c r="G424" s="28" t="s">
        <v>2161</v>
      </c>
      <c r="H424" s="12" t="s">
        <v>2162</v>
      </c>
      <c r="I424" s="12" t="s">
        <v>53</v>
      </c>
      <c r="J424" s="12" t="s">
        <v>54</v>
      </c>
      <c r="K424" s="12" t="s">
        <v>228</v>
      </c>
      <c r="L424" s="12" t="s">
        <v>198</v>
      </c>
      <c r="M424" s="12" t="s">
        <v>2151</v>
      </c>
      <c r="N424" s="12" t="s">
        <v>2152</v>
      </c>
      <c r="O424" s="12" t="s">
        <v>2131</v>
      </c>
      <c r="P424" s="12"/>
      <c r="Q424" s="12"/>
      <c r="R424" s="12"/>
      <c r="S424" s="12" t="s">
        <v>3889</v>
      </c>
      <c r="T424" s="12" t="s">
        <v>3890</v>
      </c>
    </row>
    <row r="425" spans="1:20" ht="28" x14ac:dyDescent="0.35">
      <c r="A425" s="12" t="s">
        <v>2163</v>
      </c>
      <c r="B425" s="12" t="s">
        <v>2164</v>
      </c>
      <c r="C425" s="12" t="s">
        <v>122</v>
      </c>
      <c r="D425" s="12" t="s">
        <v>36</v>
      </c>
      <c r="E425" s="12"/>
      <c r="F425" s="28" t="s">
        <v>209</v>
      </c>
      <c r="G425" s="28" t="s">
        <v>2167</v>
      </c>
      <c r="H425" s="12" t="s">
        <v>2168</v>
      </c>
      <c r="I425" s="12" t="s">
        <v>81</v>
      </c>
      <c r="J425" s="12" t="s">
        <v>82</v>
      </c>
      <c r="K425" s="12" t="s">
        <v>331</v>
      </c>
      <c r="L425" s="12" t="s">
        <v>239</v>
      </c>
      <c r="M425" s="12" t="s">
        <v>2165</v>
      </c>
      <c r="N425" s="12" t="s">
        <v>2166</v>
      </c>
      <c r="O425" s="12" t="s">
        <v>2131</v>
      </c>
      <c r="P425" s="12"/>
      <c r="Q425" s="12"/>
      <c r="R425" s="12"/>
      <c r="S425" s="12"/>
      <c r="T425" s="12" t="s">
        <v>3891</v>
      </c>
    </row>
    <row r="426" spans="1:20" ht="28" x14ac:dyDescent="0.35">
      <c r="A426" s="12" t="s">
        <v>2169</v>
      </c>
      <c r="B426" s="12" t="s">
        <v>2170</v>
      </c>
      <c r="C426" s="12" t="s">
        <v>122</v>
      </c>
      <c r="D426" s="12" t="s">
        <v>33</v>
      </c>
      <c r="E426" s="12"/>
      <c r="F426" s="28" t="s">
        <v>202</v>
      </c>
      <c r="G426" s="28" t="s">
        <v>229</v>
      </c>
      <c r="H426" s="12" t="s">
        <v>204</v>
      </c>
      <c r="I426" s="12" t="s">
        <v>53</v>
      </c>
      <c r="J426" s="12" t="s">
        <v>54</v>
      </c>
      <c r="K426" s="12" t="s">
        <v>308</v>
      </c>
      <c r="L426" s="12" t="s">
        <v>259</v>
      </c>
      <c r="M426" s="12" t="s">
        <v>2136</v>
      </c>
      <c r="N426" s="12" t="s">
        <v>2137</v>
      </c>
      <c r="O426" s="12" t="s">
        <v>2131</v>
      </c>
      <c r="P426" s="12"/>
      <c r="Q426" s="12"/>
      <c r="R426" s="12" t="s">
        <v>3266</v>
      </c>
      <c r="S426" s="12"/>
      <c r="T426" s="12" t="s">
        <v>3892</v>
      </c>
    </row>
    <row r="427" spans="1:20" x14ac:dyDescent="0.35">
      <c r="A427" s="12" t="s">
        <v>2171</v>
      </c>
      <c r="B427" s="12" t="s">
        <v>2172</v>
      </c>
      <c r="C427" s="12" t="s">
        <v>122</v>
      </c>
      <c r="D427" s="12" t="s">
        <v>33</v>
      </c>
      <c r="E427" s="12"/>
      <c r="F427" s="28" t="s">
        <v>209</v>
      </c>
      <c r="G427" s="28" t="s">
        <v>2175</v>
      </c>
      <c r="H427" s="12" t="s">
        <v>2176</v>
      </c>
      <c r="I427" s="12" t="s">
        <v>53</v>
      </c>
      <c r="J427" s="12" t="s">
        <v>54</v>
      </c>
      <c r="K427" s="12" t="s">
        <v>308</v>
      </c>
      <c r="L427" s="12" t="s">
        <v>259</v>
      </c>
      <c r="M427" s="12" t="s">
        <v>2173</v>
      </c>
      <c r="N427" s="12" t="s">
        <v>2174</v>
      </c>
      <c r="O427" s="12" t="s">
        <v>2131</v>
      </c>
      <c r="P427" s="12"/>
      <c r="Q427" s="12"/>
      <c r="R427" s="12"/>
      <c r="S427" s="12"/>
      <c r="T427" s="12" t="s">
        <v>3893</v>
      </c>
    </row>
    <row r="428" spans="1:20" ht="28" x14ac:dyDescent="0.35">
      <c r="A428" s="12" t="s">
        <v>2177</v>
      </c>
      <c r="B428" s="12" t="s">
        <v>2178</v>
      </c>
      <c r="C428" s="12" t="s">
        <v>122</v>
      </c>
      <c r="D428" s="12" t="s">
        <v>33</v>
      </c>
      <c r="E428" s="12"/>
      <c r="F428" s="28" t="s">
        <v>202</v>
      </c>
      <c r="G428" s="28" t="s">
        <v>229</v>
      </c>
      <c r="H428" s="12" t="s">
        <v>204</v>
      </c>
      <c r="I428" s="12" t="s">
        <v>53</v>
      </c>
      <c r="J428" s="12" t="s">
        <v>54</v>
      </c>
      <c r="K428" s="12" t="s">
        <v>331</v>
      </c>
      <c r="L428" s="12" t="s">
        <v>239</v>
      </c>
      <c r="M428" s="12" t="s">
        <v>2179</v>
      </c>
      <c r="N428" s="12" t="s">
        <v>2180</v>
      </c>
      <c r="O428" s="12" t="s">
        <v>2131</v>
      </c>
      <c r="P428" s="12"/>
      <c r="Q428" s="12"/>
      <c r="R428" s="12" t="s">
        <v>3250</v>
      </c>
      <c r="S428" s="12"/>
      <c r="T428" s="12" t="s">
        <v>3894</v>
      </c>
    </row>
    <row r="429" spans="1:20" x14ac:dyDescent="0.35">
      <c r="A429" s="12" t="s">
        <v>2181</v>
      </c>
      <c r="B429" s="12" t="s">
        <v>2182</v>
      </c>
      <c r="C429" s="12" t="s">
        <v>122</v>
      </c>
      <c r="D429" s="12" t="s">
        <v>33</v>
      </c>
      <c r="E429" s="12"/>
      <c r="F429" s="28" t="s">
        <v>209</v>
      </c>
      <c r="G429" s="28" t="s">
        <v>2185</v>
      </c>
      <c r="H429" s="12" t="s">
        <v>2186</v>
      </c>
      <c r="I429" s="12" t="s">
        <v>53</v>
      </c>
      <c r="J429" s="12" t="s">
        <v>54</v>
      </c>
      <c r="K429" s="12" t="s">
        <v>228</v>
      </c>
      <c r="L429" s="12" t="s">
        <v>198</v>
      </c>
      <c r="M429" s="12" t="s">
        <v>2183</v>
      </c>
      <c r="N429" s="12" t="s">
        <v>2184</v>
      </c>
      <c r="O429" s="12" t="s">
        <v>2131</v>
      </c>
      <c r="P429" s="12"/>
      <c r="Q429" s="12"/>
      <c r="R429" s="12"/>
      <c r="S429" s="12"/>
      <c r="T429" s="12" t="s">
        <v>3895</v>
      </c>
    </row>
    <row r="430" spans="1:20" ht="28" x14ac:dyDescent="0.35">
      <c r="A430" s="12" t="s">
        <v>2187</v>
      </c>
      <c r="B430" s="12" t="s">
        <v>2188</v>
      </c>
      <c r="C430" s="12" t="s">
        <v>122</v>
      </c>
      <c r="D430" s="12" t="s">
        <v>33</v>
      </c>
      <c r="E430" s="12"/>
      <c r="F430" s="28" t="s">
        <v>202</v>
      </c>
      <c r="G430" s="28" t="s">
        <v>414</v>
      </c>
      <c r="H430" s="12" t="s">
        <v>204</v>
      </c>
      <c r="I430" s="12" t="s">
        <v>57</v>
      </c>
      <c r="J430" s="12" t="s">
        <v>58</v>
      </c>
      <c r="K430" s="12" t="s">
        <v>228</v>
      </c>
      <c r="L430" s="12" t="s">
        <v>198</v>
      </c>
      <c r="M430" s="12" t="s">
        <v>2189</v>
      </c>
      <c r="N430" s="12" t="s">
        <v>2190</v>
      </c>
      <c r="O430" s="12" t="s">
        <v>2131</v>
      </c>
      <c r="P430" s="12"/>
      <c r="Q430" s="12"/>
      <c r="R430" s="12" t="s">
        <v>3266</v>
      </c>
      <c r="S430" s="12"/>
      <c r="T430" s="12" t="s">
        <v>3896</v>
      </c>
    </row>
    <row r="431" spans="1:20" ht="28" x14ac:dyDescent="0.35">
      <c r="A431" s="12" t="s">
        <v>2191</v>
      </c>
      <c r="B431" s="12" t="s">
        <v>2192</v>
      </c>
      <c r="C431" s="12" t="s">
        <v>122</v>
      </c>
      <c r="D431" s="12" t="s">
        <v>33</v>
      </c>
      <c r="E431" s="12"/>
      <c r="F431" s="28" t="s">
        <v>202</v>
      </c>
      <c r="G431" s="28" t="s">
        <v>229</v>
      </c>
      <c r="H431" s="12" t="s">
        <v>204</v>
      </c>
      <c r="I431" s="12" t="s">
        <v>53</v>
      </c>
      <c r="J431" s="12" t="s">
        <v>54</v>
      </c>
      <c r="K431" s="12" t="s">
        <v>228</v>
      </c>
      <c r="L431" s="12" t="s">
        <v>198</v>
      </c>
      <c r="M431" s="12" t="s">
        <v>2193</v>
      </c>
      <c r="N431" s="12" t="s">
        <v>2156</v>
      </c>
      <c r="O431" s="12" t="s">
        <v>2131</v>
      </c>
      <c r="P431" s="12"/>
      <c r="Q431" s="12"/>
      <c r="R431" s="12" t="s">
        <v>3250</v>
      </c>
      <c r="S431" s="12"/>
      <c r="T431" s="12" t="s">
        <v>3596</v>
      </c>
    </row>
    <row r="432" spans="1:20" x14ac:dyDescent="0.35">
      <c r="A432" s="12" t="s">
        <v>2194</v>
      </c>
      <c r="B432" s="12" t="s">
        <v>2195</v>
      </c>
      <c r="C432" s="12" t="s">
        <v>122</v>
      </c>
      <c r="D432" s="12" t="s">
        <v>33</v>
      </c>
      <c r="E432" s="12"/>
      <c r="F432" s="28" t="s">
        <v>209</v>
      </c>
      <c r="G432" s="28" t="s">
        <v>235</v>
      </c>
      <c r="H432" s="12" t="s">
        <v>2199</v>
      </c>
      <c r="I432" s="12" t="s">
        <v>55</v>
      </c>
      <c r="J432" s="12" t="s">
        <v>56</v>
      </c>
      <c r="K432" s="12" t="s">
        <v>308</v>
      </c>
      <c r="L432" s="12" t="s">
        <v>259</v>
      </c>
      <c r="M432" s="12" t="s">
        <v>2196</v>
      </c>
      <c r="N432" s="12" t="s">
        <v>2197</v>
      </c>
      <c r="O432" s="12" t="s">
        <v>2198</v>
      </c>
      <c r="P432" s="12"/>
      <c r="Q432" s="12"/>
      <c r="R432" s="12"/>
      <c r="S432" s="12" t="s">
        <v>3897</v>
      </c>
      <c r="T432" s="12" t="s">
        <v>3898</v>
      </c>
    </row>
    <row r="433" spans="1:20" ht="28" x14ac:dyDescent="0.35">
      <c r="A433" s="12" t="s">
        <v>2200</v>
      </c>
      <c r="B433" s="12" t="s">
        <v>2201</v>
      </c>
      <c r="C433" s="12" t="s">
        <v>122</v>
      </c>
      <c r="D433" s="12" t="s">
        <v>33</v>
      </c>
      <c r="E433" s="12"/>
      <c r="F433" s="28" t="s">
        <v>202</v>
      </c>
      <c r="G433" s="28" t="s">
        <v>371</v>
      </c>
      <c r="H433" s="12" t="s">
        <v>204</v>
      </c>
      <c r="I433" s="12" t="s">
        <v>55</v>
      </c>
      <c r="J433" s="12" t="s">
        <v>56</v>
      </c>
      <c r="K433" s="12" t="s">
        <v>228</v>
      </c>
      <c r="L433" s="12" t="s">
        <v>198</v>
      </c>
      <c r="M433" s="12" t="s">
        <v>2202</v>
      </c>
      <c r="N433" s="12" t="s">
        <v>2203</v>
      </c>
      <c r="O433" s="12" t="s">
        <v>2198</v>
      </c>
      <c r="P433" s="12"/>
      <c r="Q433" s="12"/>
      <c r="R433" s="12" t="s">
        <v>3250</v>
      </c>
      <c r="S433" s="12"/>
      <c r="T433" s="12" t="s">
        <v>3899</v>
      </c>
    </row>
    <row r="434" spans="1:20" ht="28" x14ac:dyDescent="0.35">
      <c r="A434" s="12" t="s">
        <v>2204</v>
      </c>
      <c r="B434" s="12" t="s">
        <v>2205</v>
      </c>
      <c r="C434" s="12" t="s">
        <v>122</v>
      </c>
      <c r="D434" s="12" t="s">
        <v>33</v>
      </c>
      <c r="E434" s="12"/>
      <c r="F434" s="28" t="s">
        <v>209</v>
      </c>
      <c r="G434" s="28" t="s">
        <v>2208</v>
      </c>
      <c r="H434" s="12" t="s">
        <v>2209</v>
      </c>
      <c r="I434" s="12" t="s">
        <v>53</v>
      </c>
      <c r="J434" s="12" t="s">
        <v>54</v>
      </c>
      <c r="K434" s="12" t="s">
        <v>228</v>
      </c>
      <c r="L434" s="12" t="s">
        <v>198</v>
      </c>
      <c r="M434" s="12" t="s">
        <v>2206</v>
      </c>
      <c r="N434" s="12" t="s">
        <v>2207</v>
      </c>
      <c r="O434" s="12" t="s">
        <v>2198</v>
      </c>
      <c r="P434" s="12"/>
      <c r="Q434" s="12"/>
      <c r="R434" s="12"/>
      <c r="S434" s="12"/>
      <c r="T434" s="12" t="s">
        <v>3900</v>
      </c>
    </row>
    <row r="435" spans="1:20" x14ac:dyDescent="0.35">
      <c r="A435" s="12" t="s">
        <v>2210</v>
      </c>
      <c r="B435" s="12" t="s">
        <v>2211</v>
      </c>
      <c r="C435" s="12" t="s">
        <v>122</v>
      </c>
      <c r="D435" s="12" t="s">
        <v>33</v>
      </c>
      <c r="E435" s="12"/>
      <c r="F435" s="28" t="s">
        <v>216</v>
      </c>
      <c r="G435" s="28" t="s">
        <v>2214</v>
      </c>
      <c r="H435" s="12" t="s">
        <v>2215</v>
      </c>
      <c r="I435" s="12" t="s">
        <v>55</v>
      </c>
      <c r="J435" s="12" t="s">
        <v>56</v>
      </c>
      <c r="K435" s="12" t="s">
        <v>308</v>
      </c>
      <c r="L435" s="12" t="s">
        <v>259</v>
      </c>
      <c r="M435" s="12" t="s">
        <v>2212</v>
      </c>
      <c r="N435" s="12" t="s">
        <v>2213</v>
      </c>
      <c r="O435" s="12" t="s">
        <v>2198</v>
      </c>
      <c r="P435" s="12"/>
      <c r="Q435" s="12"/>
      <c r="R435" s="12"/>
      <c r="S435" s="12" t="s">
        <v>3901</v>
      </c>
      <c r="T435" s="12" t="s">
        <v>3902</v>
      </c>
    </row>
    <row r="436" spans="1:20" ht="28" x14ac:dyDescent="0.35">
      <c r="A436" s="12" t="s">
        <v>2216</v>
      </c>
      <c r="B436" s="12" t="s">
        <v>2217</v>
      </c>
      <c r="C436" s="12" t="s">
        <v>122</v>
      </c>
      <c r="D436" s="12" t="s">
        <v>33</v>
      </c>
      <c r="E436" s="12"/>
      <c r="F436" s="28" t="s">
        <v>202</v>
      </c>
      <c r="G436" s="28" t="s">
        <v>313</v>
      </c>
      <c r="H436" s="12" t="s">
        <v>204</v>
      </c>
      <c r="I436" s="12" t="s">
        <v>59</v>
      </c>
      <c r="J436" s="12" t="s">
        <v>60</v>
      </c>
      <c r="K436" s="12" t="s">
        <v>228</v>
      </c>
      <c r="L436" s="12" t="s">
        <v>198</v>
      </c>
      <c r="M436" s="12" t="s">
        <v>2218</v>
      </c>
      <c r="N436" s="12" t="s">
        <v>2219</v>
      </c>
      <c r="O436" s="12" t="s">
        <v>2198</v>
      </c>
      <c r="P436" s="12"/>
      <c r="Q436" s="12"/>
      <c r="R436" s="12" t="s">
        <v>3250</v>
      </c>
      <c r="S436" s="12"/>
      <c r="T436" s="12" t="s">
        <v>3903</v>
      </c>
    </row>
    <row r="437" spans="1:20" ht="28" x14ac:dyDescent="0.35">
      <c r="A437" s="12" t="s">
        <v>2220</v>
      </c>
      <c r="B437" s="12" t="s">
        <v>2221</v>
      </c>
      <c r="C437" s="12" t="s">
        <v>122</v>
      </c>
      <c r="D437" s="12" t="s">
        <v>36</v>
      </c>
      <c r="E437" s="12"/>
      <c r="F437" s="28" t="s">
        <v>209</v>
      </c>
      <c r="G437" s="28" t="s">
        <v>2225</v>
      </c>
      <c r="H437" s="12" t="s">
        <v>2226</v>
      </c>
      <c r="I437" s="12" t="s">
        <v>81</v>
      </c>
      <c r="J437" s="12" t="s">
        <v>82</v>
      </c>
      <c r="K437" s="12" t="s">
        <v>308</v>
      </c>
      <c r="L437" s="12" t="s">
        <v>259</v>
      </c>
      <c r="M437" s="12" t="s">
        <v>2222</v>
      </c>
      <c r="N437" s="12" t="s">
        <v>2223</v>
      </c>
      <c r="O437" s="12" t="s">
        <v>2224</v>
      </c>
      <c r="P437" s="12"/>
      <c r="Q437" s="12"/>
      <c r="R437" s="12"/>
      <c r="S437" s="12"/>
      <c r="T437" s="12" t="s">
        <v>3904</v>
      </c>
    </row>
    <row r="438" spans="1:20" ht="28" x14ac:dyDescent="0.35">
      <c r="A438" s="12" t="s">
        <v>2227</v>
      </c>
      <c r="B438" s="12" t="s">
        <v>2228</v>
      </c>
      <c r="C438" s="12" t="s">
        <v>122</v>
      </c>
      <c r="D438" s="12" t="s">
        <v>33</v>
      </c>
      <c r="E438" s="12"/>
      <c r="F438" s="28" t="s">
        <v>202</v>
      </c>
      <c r="G438" s="28" t="s">
        <v>229</v>
      </c>
      <c r="H438" s="12" t="s">
        <v>204</v>
      </c>
      <c r="I438" s="12" t="s">
        <v>53</v>
      </c>
      <c r="J438" s="12" t="s">
        <v>54</v>
      </c>
      <c r="K438" s="12" t="s">
        <v>228</v>
      </c>
      <c r="L438" s="12" t="s">
        <v>198</v>
      </c>
      <c r="M438" s="12" t="s">
        <v>2229</v>
      </c>
      <c r="N438" s="12" t="s">
        <v>2230</v>
      </c>
      <c r="O438" s="12" t="s">
        <v>2224</v>
      </c>
      <c r="P438" s="12"/>
      <c r="Q438" s="12"/>
      <c r="R438" s="12" t="s">
        <v>3266</v>
      </c>
      <c r="S438" s="12"/>
      <c r="T438" s="12" t="s">
        <v>3905</v>
      </c>
    </row>
    <row r="439" spans="1:20" ht="28" x14ac:dyDescent="0.35">
      <c r="A439" s="12" t="s">
        <v>2231</v>
      </c>
      <c r="B439" s="12" t="s">
        <v>2232</v>
      </c>
      <c r="C439" s="12" t="s">
        <v>122</v>
      </c>
      <c r="D439" s="12" t="s">
        <v>33</v>
      </c>
      <c r="E439" s="12"/>
      <c r="F439" s="28" t="s">
        <v>202</v>
      </c>
      <c r="G439" s="28" t="s">
        <v>229</v>
      </c>
      <c r="H439" s="12" t="s">
        <v>204</v>
      </c>
      <c r="I439" s="12" t="s">
        <v>53</v>
      </c>
      <c r="J439" s="12" t="s">
        <v>54</v>
      </c>
      <c r="K439" s="12" t="s">
        <v>228</v>
      </c>
      <c r="L439" s="12" t="s">
        <v>198</v>
      </c>
      <c r="M439" s="12" t="s">
        <v>2233</v>
      </c>
      <c r="N439" s="12" t="s">
        <v>2234</v>
      </c>
      <c r="O439" s="12" t="s">
        <v>2224</v>
      </c>
      <c r="P439" s="12"/>
      <c r="Q439" s="12"/>
      <c r="R439" s="12" t="s">
        <v>3250</v>
      </c>
      <c r="S439" s="12" t="s">
        <v>3906</v>
      </c>
      <c r="T439" s="12" t="s">
        <v>3907</v>
      </c>
    </row>
    <row r="440" spans="1:20" ht="42" x14ac:dyDescent="0.35">
      <c r="A440" s="12" t="s">
        <v>2235</v>
      </c>
      <c r="B440" s="12" t="s">
        <v>2236</v>
      </c>
      <c r="C440" s="12" t="s">
        <v>122</v>
      </c>
      <c r="D440" s="12" t="s">
        <v>33</v>
      </c>
      <c r="E440" s="12"/>
      <c r="F440" s="28" t="s">
        <v>202</v>
      </c>
      <c r="G440" s="28" t="s">
        <v>2239</v>
      </c>
      <c r="H440" s="12" t="s">
        <v>204</v>
      </c>
      <c r="I440" s="12" t="s">
        <v>55</v>
      </c>
      <c r="J440" s="12" t="s">
        <v>56</v>
      </c>
      <c r="K440" s="12" t="s">
        <v>430</v>
      </c>
      <c r="L440" s="12" t="s">
        <v>386</v>
      </c>
      <c r="M440" s="12" t="s">
        <v>2237</v>
      </c>
      <c r="N440" s="12" t="s">
        <v>2238</v>
      </c>
      <c r="O440" s="12" t="s">
        <v>2224</v>
      </c>
      <c r="P440" s="12"/>
      <c r="Q440" s="12"/>
      <c r="R440" s="12" t="s">
        <v>3250</v>
      </c>
      <c r="S440" s="12"/>
      <c r="T440" s="12" t="s">
        <v>3837</v>
      </c>
    </row>
    <row r="441" spans="1:20" x14ac:dyDescent="0.35">
      <c r="A441" s="12" t="s">
        <v>2240</v>
      </c>
      <c r="B441" s="12" t="s">
        <v>2241</v>
      </c>
      <c r="C441" s="12" t="s">
        <v>122</v>
      </c>
      <c r="D441" s="12" t="s">
        <v>33</v>
      </c>
      <c r="E441" s="12"/>
      <c r="F441" s="28" t="s">
        <v>216</v>
      </c>
      <c r="G441" s="28" t="s">
        <v>2244</v>
      </c>
      <c r="H441" s="12" t="s">
        <v>2245</v>
      </c>
      <c r="I441" s="12" t="s">
        <v>57</v>
      </c>
      <c r="J441" s="12" t="s">
        <v>58</v>
      </c>
      <c r="K441" s="12" t="s">
        <v>228</v>
      </c>
      <c r="L441" s="12" t="s">
        <v>198</v>
      </c>
      <c r="M441" s="12" t="s">
        <v>2242</v>
      </c>
      <c r="N441" s="12" t="s">
        <v>2243</v>
      </c>
      <c r="O441" s="12" t="s">
        <v>2224</v>
      </c>
      <c r="P441" s="12"/>
      <c r="Q441" s="12"/>
      <c r="R441" s="12"/>
      <c r="S441" s="12" t="s">
        <v>3908</v>
      </c>
      <c r="T441" s="12" t="s">
        <v>3909</v>
      </c>
    </row>
    <row r="442" spans="1:20" ht="42" x14ac:dyDescent="0.35">
      <c r="A442" s="12" t="s">
        <v>2246</v>
      </c>
      <c r="B442" s="12" t="s">
        <v>2247</v>
      </c>
      <c r="C442" s="12" t="s">
        <v>122</v>
      </c>
      <c r="D442" s="12" t="s">
        <v>33</v>
      </c>
      <c r="E442" s="12"/>
      <c r="F442" s="28" t="s">
        <v>694</v>
      </c>
      <c r="G442" s="28" t="s">
        <v>2250</v>
      </c>
      <c r="H442" s="12" t="s">
        <v>2251</v>
      </c>
      <c r="I442" s="12" t="s">
        <v>55</v>
      </c>
      <c r="J442" s="12" t="s">
        <v>56</v>
      </c>
      <c r="K442" s="12" t="s">
        <v>228</v>
      </c>
      <c r="L442" s="12" t="s">
        <v>198</v>
      </c>
      <c r="M442" s="12" t="s">
        <v>2248</v>
      </c>
      <c r="N442" s="12" t="s">
        <v>2249</v>
      </c>
      <c r="O442" s="12" t="s">
        <v>2224</v>
      </c>
      <c r="P442" s="12"/>
      <c r="Q442" s="12"/>
      <c r="R442" s="12"/>
      <c r="S442" s="12" t="s">
        <v>3910</v>
      </c>
      <c r="T442" s="12" t="s">
        <v>3911</v>
      </c>
    </row>
    <row r="443" spans="1:20" x14ac:dyDescent="0.35">
      <c r="A443" s="12" t="s">
        <v>2252</v>
      </c>
      <c r="B443" s="12" t="s">
        <v>2253</v>
      </c>
      <c r="C443" s="12" t="s">
        <v>122</v>
      </c>
      <c r="D443" s="12" t="s">
        <v>34</v>
      </c>
      <c r="E443" s="12"/>
      <c r="F443" s="28" t="s">
        <v>216</v>
      </c>
      <c r="G443" s="28" t="s">
        <v>2256</v>
      </c>
      <c r="H443" s="12" t="s">
        <v>2257</v>
      </c>
      <c r="I443" s="12" t="s">
        <v>63</v>
      </c>
      <c r="J443" s="12" t="s">
        <v>64</v>
      </c>
      <c r="K443" s="12" t="s">
        <v>308</v>
      </c>
      <c r="L443" s="12" t="s">
        <v>259</v>
      </c>
      <c r="M443" s="12" t="s">
        <v>2254</v>
      </c>
      <c r="N443" s="12" t="s">
        <v>2255</v>
      </c>
      <c r="O443" s="12" t="s">
        <v>2224</v>
      </c>
      <c r="P443" s="12"/>
      <c r="Q443" s="12"/>
      <c r="R443" s="12"/>
      <c r="S443" s="12" t="s">
        <v>3912</v>
      </c>
      <c r="T443" s="12" t="s">
        <v>3913</v>
      </c>
    </row>
    <row r="444" spans="1:20" x14ac:dyDescent="0.35">
      <c r="A444" s="12" t="s">
        <v>2258</v>
      </c>
      <c r="B444" s="12" t="s">
        <v>2259</v>
      </c>
      <c r="C444" s="12" t="s">
        <v>122</v>
      </c>
      <c r="D444" s="12" t="s">
        <v>33</v>
      </c>
      <c r="E444" s="12"/>
      <c r="F444" s="28" t="s">
        <v>209</v>
      </c>
      <c r="G444" s="28" t="s">
        <v>2260</v>
      </c>
      <c r="H444" s="12" t="s">
        <v>2261</v>
      </c>
      <c r="I444" s="12" t="s">
        <v>63</v>
      </c>
      <c r="J444" s="12" t="s">
        <v>64</v>
      </c>
      <c r="K444" s="12" t="s">
        <v>228</v>
      </c>
      <c r="L444" s="12" t="s">
        <v>198</v>
      </c>
      <c r="M444" s="12" t="s">
        <v>2242</v>
      </c>
      <c r="N444" s="12" t="s">
        <v>2243</v>
      </c>
      <c r="O444" s="12" t="s">
        <v>2224</v>
      </c>
      <c r="P444" s="12"/>
      <c r="Q444" s="12"/>
      <c r="R444" s="12"/>
      <c r="S444" s="12" t="s">
        <v>3914</v>
      </c>
      <c r="T444" s="12" t="s">
        <v>3915</v>
      </c>
    </row>
    <row r="445" spans="1:20" ht="56" x14ac:dyDescent="0.35">
      <c r="A445" s="12" t="s">
        <v>2262</v>
      </c>
      <c r="B445" s="12" t="s">
        <v>2263</v>
      </c>
      <c r="C445" s="12" t="s">
        <v>122</v>
      </c>
      <c r="D445" s="12" t="s">
        <v>33</v>
      </c>
      <c r="E445" s="12"/>
      <c r="F445" s="28" t="s">
        <v>694</v>
      </c>
      <c r="G445" s="28" t="s">
        <v>2264</v>
      </c>
      <c r="H445" s="12" t="s">
        <v>2265</v>
      </c>
      <c r="I445" s="12" t="s">
        <v>79</v>
      </c>
      <c r="J445" s="12" t="s">
        <v>80</v>
      </c>
      <c r="K445" s="12" t="s">
        <v>308</v>
      </c>
      <c r="L445" s="12" t="s">
        <v>259</v>
      </c>
      <c r="M445" s="12" t="s">
        <v>2242</v>
      </c>
      <c r="N445" s="12" t="s">
        <v>2243</v>
      </c>
      <c r="O445" s="12" t="s">
        <v>2224</v>
      </c>
      <c r="P445" s="12"/>
      <c r="Q445" s="12"/>
      <c r="R445" s="12"/>
      <c r="S445" s="12" t="s">
        <v>3916</v>
      </c>
      <c r="T445" s="12" t="s">
        <v>3917</v>
      </c>
    </row>
    <row r="446" spans="1:20" ht="56" x14ac:dyDescent="0.35">
      <c r="A446" s="12" t="s">
        <v>2266</v>
      </c>
      <c r="B446" s="12" t="s">
        <v>2267</v>
      </c>
      <c r="C446" s="12" t="s">
        <v>122</v>
      </c>
      <c r="D446" s="12" t="s">
        <v>33</v>
      </c>
      <c r="E446" s="12"/>
      <c r="F446" s="28" t="s">
        <v>202</v>
      </c>
      <c r="G446" s="28" t="s">
        <v>2270</v>
      </c>
      <c r="H446" s="12" t="s">
        <v>204</v>
      </c>
      <c r="I446" s="12" t="s">
        <v>53</v>
      </c>
      <c r="J446" s="12" t="s">
        <v>54</v>
      </c>
      <c r="K446" s="12" t="s">
        <v>308</v>
      </c>
      <c r="L446" s="12" t="s">
        <v>259</v>
      </c>
      <c r="M446" s="12" t="s">
        <v>2268</v>
      </c>
      <c r="N446" s="12" t="s">
        <v>2269</v>
      </c>
      <c r="O446" s="12" t="s">
        <v>2224</v>
      </c>
      <c r="P446" s="12"/>
      <c r="Q446" s="12"/>
      <c r="R446" s="12" t="s">
        <v>3250</v>
      </c>
      <c r="S446" s="12" t="s">
        <v>3918</v>
      </c>
      <c r="T446" s="12" t="s">
        <v>3919</v>
      </c>
    </row>
    <row r="447" spans="1:20" ht="28" x14ac:dyDescent="0.35">
      <c r="A447" s="12" t="s">
        <v>2271</v>
      </c>
      <c r="B447" s="12" t="s">
        <v>1379</v>
      </c>
      <c r="C447" s="12" t="s">
        <v>122</v>
      </c>
      <c r="D447" s="12" t="s">
        <v>33</v>
      </c>
      <c r="E447" s="12"/>
      <c r="F447" s="28" t="s">
        <v>202</v>
      </c>
      <c r="G447" s="28" t="s">
        <v>229</v>
      </c>
      <c r="H447" s="12" t="s">
        <v>204</v>
      </c>
      <c r="I447" s="12" t="s">
        <v>53</v>
      </c>
      <c r="J447" s="12" t="s">
        <v>54</v>
      </c>
      <c r="K447" s="12" t="s">
        <v>228</v>
      </c>
      <c r="L447" s="12" t="s">
        <v>198</v>
      </c>
      <c r="M447" s="12" t="s">
        <v>2272</v>
      </c>
      <c r="N447" s="12" t="s">
        <v>2273</v>
      </c>
      <c r="O447" s="12" t="s">
        <v>2224</v>
      </c>
      <c r="P447" s="12"/>
      <c r="Q447" s="12"/>
      <c r="R447" s="12" t="s">
        <v>3250</v>
      </c>
      <c r="S447" s="12" t="s">
        <v>3920</v>
      </c>
      <c r="T447" s="12" t="s">
        <v>3760</v>
      </c>
    </row>
    <row r="448" spans="1:20" ht="42" x14ac:dyDescent="0.35">
      <c r="A448" s="12" t="s">
        <v>2274</v>
      </c>
      <c r="B448" s="12" t="s">
        <v>2275</v>
      </c>
      <c r="C448" s="12" t="s">
        <v>122</v>
      </c>
      <c r="D448" s="12" t="s">
        <v>33</v>
      </c>
      <c r="E448" s="12"/>
      <c r="F448" s="28" t="s">
        <v>202</v>
      </c>
      <c r="G448" s="28" t="s">
        <v>1020</v>
      </c>
      <c r="H448" s="12" t="s">
        <v>204</v>
      </c>
      <c r="I448" s="12" t="s">
        <v>75</v>
      </c>
      <c r="J448" s="12" t="s">
        <v>76</v>
      </c>
      <c r="K448" s="12" t="s">
        <v>308</v>
      </c>
      <c r="L448" s="12" t="s">
        <v>259</v>
      </c>
      <c r="M448" s="12" t="s">
        <v>2268</v>
      </c>
      <c r="N448" s="12" t="s">
        <v>2269</v>
      </c>
      <c r="O448" s="12" t="s">
        <v>2224</v>
      </c>
      <c r="P448" s="12"/>
      <c r="Q448" s="12"/>
      <c r="R448" s="12" t="s">
        <v>3250</v>
      </c>
      <c r="S448" s="12" t="s">
        <v>3921</v>
      </c>
      <c r="T448" s="12" t="s">
        <v>3922</v>
      </c>
    </row>
    <row r="449" spans="1:20" ht="56" x14ac:dyDescent="0.35">
      <c r="A449" s="12" t="s">
        <v>2276</v>
      </c>
      <c r="B449" s="12" t="s">
        <v>2277</v>
      </c>
      <c r="C449" s="12" t="s">
        <v>122</v>
      </c>
      <c r="D449" s="12" t="s">
        <v>33</v>
      </c>
      <c r="E449" s="12"/>
      <c r="F449" s="28" t="s">
        <v>202</v>
      </c>
      <c r="G449" s="28" t="s">
        <v>2278</v>
      </c>
      <c r="H449" s="12" t="s">
        <v>204</v>
      </c>
      <c r="I449" s="12" t="s">
        <v>53</v>
      </c>
      <c r="J449" s="12" t="s">
        <v>54</v>
      </c>
      <c r="K449" s="12" t="s">
        <v>331</v>
      </c>
      <c r="L449" s="12" t="s">
        <v>239</v>
      </c>
      <c r="M449" s="12" t="s">
        <v>2268</v>
      </c>
      <c r="N449" s="12" t="s">
        <v>2269</v>
      </c>
      <c r="O449" s="12" t="s">
        <v>2224</v>
      </c>
      <c r="P449" s="12"/>
      <c r="Q449" s="12"/>
      <c r="R449" s="12" t="s">
        <v>3923</v>
      </c>
      <c r="S449" s="12" t="s">
        <v>3924</v>
      </c>
      <c r="T449" s="12" t="s">
        <v>3615</v>
      </c>
    </row>
    <row r="450" spans="1:20" x14ac:dyDescent="0.35">
      <c r="A450" s="12" t="s">
        <v>2543</v>
      </c>
      <c r="B450" s="12" t="s">
        <v>2544</v>
      </c>
      <c r="C450" s="12" t="s">
        <v>122</v>
      </c>
      <c r="D450" s="12" t="s">
        <v>33</v>
      </c>
      <c r="E450" s="12" t="s">
        <v>2414</v>
      </c>
      <c r="F450" s="28" t="s">
        <v>209</v>
      </c>
      <c r="G450" s="28" t="s">
        <v>2545</v>
      </c>
      <c r="H450" s="12" t="s">
        <v>2546</v>
      </c>
      <c r="I450" s="12" t="s">
        <v>53</v>
      </c>
      <c r="J450" s="12" t="s">
        <v>54</v>
      </c>
      <c r="K450" s="12" t="s">
        <v>308</v>
      </c>
      <c r="L450" s="12" t="s">
        <v>259</v>
      </c>
      <c r="M450" s="12" t="s">
        <v>2248</v>
      </c>
      <c r="N450" s="12" t="s">
        <v>2249</v>
      </c>
      <c r="O450" s="12" t="s">
        <v>2224</v>
      </c>
      <c r="P450" s="12" t="s">
        <v>3325</v>
      </c>
      <c r="Q450" s="12" t="s">
        <v>3925</v>
      </c>
      <c r="R450" s="12"/>
      <c r="S450" s="12"/>
      <c r="T450" s="12" t="s">
        <v>3926</v>
      </c>
    </row>
    <row r="451" spans="1:20" x14ac:dyDescent="0.35">
      <c r="A451" s="12" t="s">
        <v>2279</v>
      </c>
      <c r="B451" s="12" t="s">
        <v>1342</v>
      </c>
      <c r="C451" s="12" t="s">
        <v>122</v>
      </c>
      <c r="D451" s="12" t="s">
        <v>33</v>
      </c>
      <c r="E451" s="12"/>
      <c r="F451" s="28" t="s">
        <v>209</v>
      </c>
      <c r="G451" s="28" t="s">
        <v>2282</v>
      </c>
      <c r="H451" s="12" t="s">
        <v>2283</v>
      </c>
      <c r="I451" s="12" t="s">
        <v>67</v>
      </c>
      <c r="J451" s="12" t="s">
        <v>68</v>
      </c>
      <c r="K451" s="12" t="s">
        <v>228</v>
      </c>
      <c r="L451" s="12" t="s">
        <v>198</v>
      </c>
      <c r="M451" s="12" t="s">
        <v>2280</v>
      </c>
      <c r="N451" s="12" t="s">
        <v>2281</v>
      </c>
      <c r="O451" s="12" t="s">
        <v>2224</v>
      </c>
      <c r="P451" s="12"/>
      <c r="Q451" s="12"/>
      <c r="R451" s="12"/>
      <c r="S451" s="12"/>
      <c r="T451" s="12" t="s">
        <v>3927</v>
      </c>
    </row>
    <row r="452" spans="1:20" ht="28" x14ac:dyDescent="0.35">
      <c r="A452" s="12" t="s">
        <v>2284</v>
      </c>
      <c r="B452" s="12" t="s">
        <v>2285</v>
      </c>
      <c r="C452" s="12" t="s">
        <v>122</v>
      </c>
      <c r="D452" s="12" t="s">
        <v>36</v>
      </c>
      <c r="E452" s="12"/>
      <c r="F452" s="28" t="s">
        <v>209</v>
      </c>
      <c r="G452" s="28" t="s">
        <v>2288</v>
      </c>
      <c r="H452" s="12" t="s">
        <v>2289</v>
      </c>
      <c r="I452" s="12" t="s">
        <v>71</v>
      </c>
      <c r="J452" s="12" t="s">
        <v>72</v>
      </c>
      <c r="K452" s="12" t="s">
        <v>308</v>
      </c>
      <c r="L452" s="12" t="s">
        <v>259</v>
      </c>
      <c r="M452" s="12" t="s">
        <v>2286</v>
      </c>
      <c r="N452" s="12" t="s">
        <v>2287</v>
      </c>
      <c r="O452" s="12" t="s">
        <v>2224</v>
      </c>
      <c r="P452" s="12"/>
      <c r="Q452" s="12"/>
      <c r="R452" s="12"/>
      <c r="S452" s="12" t="s">
        <v>3928</v>
      </c>
      <c r="T452" s="12" t="s">
        <v>3371</v>
      </c>
    </row>
    <row r="453" spans="1:20" x14ac:dyDescent="0.35">
      <c r="A453" s="12" t="s">
        <v>2290</v>
      </c>
      <c r="B453" s="12" t="s">
        <v>2291</v>
      </c>
      <c r="C453" s="12" t="s">
        <v>122</v>
      </c>
      <c r="D453" s="12" t="s">
        <v>33</v>
      </c>
      <c r="E453" s="12"/>
      <c r="F453" s="28" t="s">
        <v>209</v>
      </c>
      <c r="G453" s="28" t="s">
        <v>2292</v>
      </c>
      <c r="H453" s="12" t="s">
        <v>2293</v>
      </c>
      <c r="I453" s="12" t="s">
        <v>53</v>
      </c>
      <c r="J453" s="12" t="s">
        <v>54</v>
      </c>
      <c r="K453" s="12" t="s">
        <v>228</v>
      </c>
      <c r="L453" s="12" t="s">
        <v>198</v>
      </c>
      <c r="M453" s="12" t="s">
        <v>2229</v>
      </c>
      <c r="N453" s="12" t="s">
        <v>2230</v>
      </c>
      <c r="O453" s="12" t="s">
        <v>2224</v>
      </c>
      <c r="P453" s="12"/>
      <c r="Q453" s="12"/>
      <c r="R453" s="12"/>
      <c r="S453" s="12" t="s">
        <v>3929</v>
      </c>
      <c r="T453" s="12" t="s">
        <v>3930</v>
      </c>
    </row>
    <row r="454" spans="1:20" ht="28" x14ac:dyDescent="0.35">
      <c r="A454" s="12" t="s">
        <v>2294</v>
      </c>
      <c r="B454" s="12" t="s">
        <v>2295</v>
      </c>
      <c r="C454" s="12" t="s">
        <v>122</v>
      </c>
      <c r="D454" s="12" t="s">
        <v>33</v>
      </c>
      <c r="E454" s="12"/>
      <c r="F454" s="28" t="s">
        <v>202</v>
      </c>
      <c r="G454" s="28" t="s">
        <v>414</v>
      </c>
      <c r="H454" s="12" t="s">
        <v>204</v>
      </c>
      <c r="I454" s="12" t="s">
        <v>57</v>
      </c>
      <c r="J454" s="12" t="s">
        <v>58</v>
      </c>
      <c r="K454" s="12" t="s">
        <v>228</v>
      </c>
      <c r="L454" s="12" t="s">
        <v>198</v>
      </c>
      <c r="M454" s="12" t="s">
        <v>2296</v>
      </c>
      <c r="N454" s="12" t="s">
        <v>2297</v>
      </c>
      <c r="O454" s="12" t="s">
        <v>2224</v>
      </c>
      <c r="P454" s="12"/>
      <c r="Q454" s="12"/>
      <c r="R454" s="12" t="s">
        <v>3250</v>
      </c>
      <c r="S454" s="12"/>
      <c r="T454" s="12" t="s">
        <v>3452</v>
      </c>
    </row>
    <row r="455" spans="1:20" ht="42" x14ac:dyDescent="0.35">
      <c r="A455" s="12" t="s">
        <v>2298</v>
      </c>
      <c r="B455" s="12" t="s">
        <v>2299</v>
      </c>
      <c r="C455" s="12" t="s">
        <v>122</v>
      </c>
      <c r="D455" s="12" t="s">
        <v>33</v>
      </c>
      <c r="E455" s="12"/>
      <c r="F455" s="28" t="s">
        <v>202</v>
      </c>
      <c r="G455" s="28" t="s">
        <v>2300</v>
      </c>
      <c r="H455" s="12" t="s">
        <v>204</v>
      </c>
      <c r="I455" s="12" t="s">
        <v>53</v>
      </c>
      <c r="J455" s="12" t="s">
        <v>54</v>
      </c>
      <c r="K455" s="12" t="s">
        <v>331</v>
      </c>
      <c r="L455" s="12" t="s">
        <v>239</v>
      </c>
      <c r="M455" s="12" t="s">
        <v>2229</v>
      </c>
      <c r="N455" s="12" t="s">
        <v>2230</v>
      </c>
      <c r="O455" s="12" t="s">
        <v>2224</v>
      </c>
      <c r="P455" s="12"/>
      <c r="Q455" s="12"/>
      <c r="R455" s="12" t="s">
        <v>3270</v>
      </c>
      <c r="S455" s="12"/>
      <c r="T455" s="12" t="s">
        <v>3931</v>
      </c>
    </row>
    <row r="456" spans="1:20" x14ac:dyDescent="0.35">
      <c r="A456" s="12" t="s">
        <v>2547</v>
      </c>
      <c r="B456" s="12" t="s">
        <v>2548</v>
      </c>
      <c r="C456" s="12" t="s">
        <v>122</v>
      </c>
      <c r="D456" s="12" t="s">
        <v>34</v>
      </c>
      <c r="E456" s="12" t="s">
        <v>2414</v>
      </c>
      <c r="F456" s="28" t="s">
        <v>216</v>
      </c>
      <c r="G456" s="28" t="s">
        <v>2549</v>
      </c>
      <c r="H456" s="12" t="s">
        <v>2550</v>
      </c>
      <c r="I456" s="12" t="s">
        <v>65</v>
      </c>
      <c r="J456" s="12" t="s">
        <v>66</v>
      </c>
      <c r="K456" s="12" t="s">
        <v>308</v>
      </c>
      <c r="L456" s="12" t="s">
        <v>259</v>
      </c>
      <c r="M456" s="12" t="s">
        <v>2222</v>
      </c>
      <c r="N456" s="12" t="s">
        <v>2223</v>
      </c>
      <c r="O456" s="12" t="s">
        <v>2224</v>
      </c>
      <c r="P456" s="12" t="s">
        <v>3325</v>
      </c>
      <c r="Q456" s="12" t="s">
        <v>3932</v>
      </c>
      <c r="R456" s="12"/>
      <c r="S456" s="12" t="s">
        <v>3933</v>
      </c>
      <c r="T456" s="12" t="s">
        <v>3934</v>
      </c>
    </row>
    <row r="457" spans="1:20" ht="28" x14ac:dyDescent="0.35">
      <c r="A457" s="12" t="s">
        <v>2301</v>
      </c>
      <c r="B457" s="12" t="s">
        <v>2302</v>
      </c>
      <c r="C457" s="12" t="s">
        <v>122</v>
      </c>
      <c r="D457" s="12" t="s">
        <v>34</v>
      </c>
      <c r="E457" s="12"/>
      <c r="F457" s="28" t="s">
        <v>202</v>
      </c>
      <c r="G457" s="28" t="s">
        <v>468</v>
      </c>
      <c r="H457" s="12" t="s">
        <v>204</v>
      </c>
      <c r="I457" s="12" t="s">
        <v>65</v>
      </c>
      <c r="J457" s="12" t="s">
        <v>66</v>
      </c>
      <c r="K457" s="12" t="s">
        <v>331</v>
      </c>
      <c r="L457" s="12" t="s">
        <v>239</v>
      </c>
      <c r="M457" s="12" t="s">
        <v>2303</v>
      </c>
      <c r="N457" s="12" t="s">
        <v>2304</v>
      </c>
      <c r="O457" s="12" t="s">
        <v>2224</v>
      </c>
      <c r="P457" s="12"/>
      <c r="Q457" s="12"/>
      <c r="R457" s="12" t="s">
        <v>3562</v>
      </c>
      <c r="S457" s="12"/>
      <c r="T457" s="12" t="s">
        <v>3935</v>
      </c>
    </row>
    <row r="458" spans="1:20" ht="56" x14ac:dyDescent="0.35">
      <c r="A458" s="12" t="s">
        <v>2305</v>
      </c>
      <c r="B458" s="12" t="s">
        <v>2306</v>
      </c>
      <c r="C458" s="12" t="s">
        <v>122</v>
      </c>
      <c r="D458" s="12" t="s">
        <v>33</v>
      </c>
      <c r="E458" s="12"/>
      <c r="F458" s="28" t="s">
        <v>216</v>
      </c>
      <c r="G458" s="28" t="s">
        <v>2307</v>
      </c>
      <c r="H458" s="12" t="s">
        <v>2308</v>
      </c>
      <c r="I458" s="12" t="s">
        <v>53</v>
      </c>
      <c r="J458" s="12" t="s">
        <v>54</v>
      </c>
      <c r="K458" s="12" t="s">
        <v>430</v>
      </c>
      <c r="L458" s="12" t="s">
        <v>386</v>
      </c>
      <c r="M458" s="12" t="s">
        <v>2233</v>
      </c>
      <c r="N458" s="12" t="s">
        <v>2234</v>
      </c>
      <c r="O458" s="12" t="s">
        <v>2224</v>
      </c>
      <c r="P458" s="12"/>
      <c r="Q458" s="12"/>
      <c r="R458" s="12"/>
      <c r="S458" s="12" t="s">
        <v>3936</v>
      </c>
      <c r="T458" s="12" t="s">
        <v>3937</v>
      </c>
    </row>
    <row r="459" spans="1:20" x14ac:dyDescent="0.35">
      <c r="A459" s="12" t="s">
        <v>2309</v>
      </c>
      <c r="B459" s="12" t="s">
        <v>2310</v>
      </c>
      <c r="C459" s="12" t="s">
        <v>122</v>
      </c>
      <c r="D459" s="12" t="s">
        <v>33</v>
      </c>
      <c r="E459" s="12"/>
      <c r="F459" s="28" t="s">
        <v>209</v>
      </c>
      <c r="G459" s="28" t="s">
        <v>2311</v>
      </c>
      <c r="H459" s="12" t="s">
        <v>2312</v>
      </c>
      <c r="I459" s="12" t="s">
        <v>53</v>
      </c>
      <c r="J459" s="12" t="s">
        <v>54</v>
      </c>
      <c r="K459" s="12" t="s">
        <v>308</v>
      </c>
      <c r="L459" s="12" t="s">
        <v>259</v>
      </c>
      <c r="M459" s="12" t="s">
        <v>2229</v>
      </c>
      <c r="N459" s="12" t="s">
        <v>2230</v>
      </c>
      <c r="O459" s="12" t="s">
        <v>2224</v>
      </c>
      <c r="P459" s="12"/>
      <c r="Q459" s="12"/>
      <c r="R459" s="12"/>
      <c r="S459" s="12"/>
      <c r="T459" s="12" t="s">
        <v>3371</v>
      </c>
    </row>
    <row r="460" spans="1:20" ht="42" x14ac:dyDescent="0.35">
      <c r="A460" s="12" t="s">
        <v>2313</v>
      </c>
      <c r="B460" s="12" t="s">
        <v>2314</v>
      </c>
      <c r="C460" s="12" t="s">
        <v>122</v>
      </c>
      <c r="D460" s="12" t="s">
        <v>33</v>
      </c>
      <c r="E460" s="12"/>
      <c r="F460" s="28" t="s">
        <v>202</v>
      </c>
      <c r="G460" s="28" t="s">
        <v>937</v>
      </c>
      <c r="H460" s="12" t="s">
        <v>204</v>
      </c>
      <c r="I460" s="12" t="s">
        <v>55</v>
      </c>
      <c r="J460" s="12" t="s">
        <v>56</v>
      </c>
      <c r="K460" s="12" t="s">
        <v>228</v>
      </c>
      <c r="L460" s="12" t="s">
        <v>198</v>
      </c>
      <c r="M460" s="12" t="s">
        <v>2315</v>
      </c>
      <c r="N460" s="12" t="s">
        <v>2316</v>
      </c>
      <c r="O460" s="12" t="s">
        <v>2317</v>
      </c>
      <c r="P460" s="12"/>
      <c r="Q460" s="12"/>
      <c r="R460" s="12" t="s">
        <v>3250</v>
      </c>
      <c r="S460" s="12" t="s">
        <v>3938</v>
      </c>
      <c r="T460" s="12" t="s">
        <v>3939</v>
      </c>
    </row>
    <row r="461" spans="1:20" ht="28" x14ac:dyDescent="0.35">
      <c r="A461" s="12" t="s">
        <v>2318</v>
      </c>
      <c r="B461" s="12" t="s">
        <v>2319</v>
      </c>
      <c r="C461" s="12" t="s">
        <v>122</v>
      </c>
      <c r="D461" s="12" t="s">
        <v>33</v>
      </c>
      <c r="E461" s="12"/>
      <c r="F461" s="28" t="s">
        <v>202</v>
      </c>
      <c r="G461" s="28" t="s">
        <v>371</v>
      </c>
      <c r="H461" s="12" t="s">
        <v>204</v>
      </c>
      <c r="I461" s="12" t="s">
        <v>55</v>
      </c>
      <c r="J461" s="12" t="s">
        <v>56</v>
      </c>
      <c r="K461" s="12" t="s">
        <v>308</v>
      </c>
      <c r="L461" s="12" t="s">
        <v>259</v>
      </c>
      <c r="M461" s="12" t="s">
        <v>2320</v>
      </c>
      <c r="N461" s="12" t="s">
        <v>2321</v>
      </c>
      <c r="O461" s="12" t="s">
        <v>2317</v>
      </c>
      <c r="P461" s="12"/>
      <c r="Q461" s="12"/>
      <c r="R461" s="12" t="s">
        <v>3250</v>
      </c>
      <c r="S461" s="12" t="s">
        <v>3940</v>
      </c>
      <c r="T461" s="12" t="s">
        <v>3941</v>
      </c>
    </row>
    <row r="462" spans="1:20" ht="42" x14ac:dyDescent="0.35">
      <c r="A462" s="12" t="s">
        <v>2322</v>
      </c>
      <c r="B462" s="12" t="s">
        <v>2323</v>
      </c>
      <c r="C462" s="12" t="s">
        <v>122</v>
      </c>
      <c r="D462" s="12" t="s">
        <v>33</v>
      </c>
      <c r="E462" s="12"/>
      <c r="F462" s="28" t="s">
        <v>202</v>
      </c>
      <c r="G462" s="28" t="s">
        <v>2324</v>
      </c>
      <c r="H462" s="12" t="s">
        <v>204</v>
      </c>
      <c r="I462" s="12" t="s">
        <v>55</v>
      </c>
      <c r="J462" s="12" t="s">
        <v>56</v>
      </c>
      <c r="K462" s="12" t="s">
        <v>228</v>
      </c>
      <c r="L462" s="12" t="s">
        <v>198</v>
      </c>
      <c r="M462" s="12" t="s">
        <v>2315</v>
      </c>
      <c r="N462" s="12" t="s">
        <v>2316</v>
      </c>
      <c r="O462" s="12" t="s">
        <v>2317</v>
      </c>
      <c r="P462" s="12"/>
      <c r="Q462" s="12"/>
      <c r="R462" s="12" t="s">
        <v>3250</v>
      </c>
      <c r="S462" s="12"/>
      <c r="T462" s="12" t="s">
        <v>3942</v>
      </c>
    </row>
    <row r="463" spans="1:20" x14ac:dyDescent="0.35">
      <c r="A463" s="12" t="s">
        <v>2325</v>
      </c>
      <c r="B463" s="12" t="s">
        <v>2326</v>
      </c>
      <c r="C463" s="12" t="s">
        <v>122</v>
      </c>
      <c r="D463" s="12" t="s">
        <v>33</v>
      </c>
      <c r="E463" s="12"/>
      <c r="F463" s="28" t="s">
        <v>209</v>
      </c>
      <c r="G463" s="28" t="s">
        <v>2329</v>
      </c>
      <c r="H463" s="12" t="s">
        <v>2330</v>
      </c>
      <c r="I463" s="12" t="s">
        <v>55</v>
      </c>
      <c r="J463" s="12" t="s">
        <v>56</v>
      </c>
      <c r="K463" s="12" t="s">
        <v>228</v>
      </c>
      <c r="L463" s="12" t="s">
        <v>198</v>
      </c>
      <c r="M463" s="12" t="s">
        <v>2327</v>
      </c>
      <c r="N463" s="12" t="s">
        <v>2328</v>
      </c>
      <c r="O463" s="12" t="s">
        <v>2317</v>
      </c>
      <c r="P463" s="12"/>
      <c r="Q463" s="12"/>
      <c r="R463" s="12" t="s">
        <v>3943</v>
      </c>
      <c r="S463" s="12"/>
      <c r="T463" s="12" t="s">
        <v>3659</v>
      </c>
    </row>
    <row r="464" spans="1:20" ht="28" x14ac:dyDescent="0.35">
      <c r="A464" s="12" t="s">
        <v>2551</v>
      </c>
      <c r="B464" s="12" t="s">
        <v>2552</v>
      </c>
      <c r="C464" s="12" t="s">
        <v>122</v>
      </c>
      <c r="D464" s="12" t="s">
        <v>36</v>
      </c>
      <c r="E464" s="12" t="s">
        <v>2414</v>
      </c>
      <c r="F464" s="28" t="s">
        <v>209</v>
      </c>
      <c r="G464" s="28" t="s">
        <v>2555</v>
      </c>
      <c r="H464" s="12" t="s">
        <v>2556</v>
      </c>
      <c r="I464" s="12" t="s">
        <v>77</v>
      </c>
      <c r="J464" s="12" t="s">
        <v>78</v>
      </c>
      <c r="K464" s="12" t="s">
        <v>308</v>
      </c>
      <c r="L464" s="12" t="s">
        <v>259</v>
      </c>
      <c r="M464" s="12" t="s">
        <v>2553</v>
      </c>
      <c r="N464" s="12" t="s">
        <v>2554</v>
      </c>
      <c r="O464" s="12" t="s">
        <v>2317</v>
      </c>
      <c r="P464" s="12" t="s">
        <v>3325</v>
      </c>
      <c r="Q464" s="12" t="s">
        <v>3944</v>
      </c>
      <c r="R464" s="12"/>
      <c r="S464" s="12" t="s">
        <v>3945</v>
      </c>
      <c r="T464" s="12" t="s">
        <v>3946</v>
      </c>
    </row>
    <row r="465" spans="1:20" ht="56" x14ac:dyDescent="0.35">
      <c r="A465" s="12" t="s">
        <v>2331</v>
      </c>
      <c r="B465" s="12" t="s">
        <v>2332</v>
      </c>
      <c r="C465" s="12" t="s">
        <v>122</v>
      </c>
      <c r="D465" s="12" t="s">
        <v>33</v>
      </c>
      <c r="E465" s="12"/>
      <c r="F465" s="28" t="s">
        <v>202</v>
      </c>
      <c r="G465" s="28" t="s">
        <v>2335</v>
      </c>
      <c r="H465" s="12" t="s">
        <v>204</v>
      </c>
      <c r="I465" s="12" t="s">
        <v>79</v>
      </c>
      <c r="J465" s="12" t="s">
        <v>80</v>
      </c>
      <c r="K465" s="12" t="s">
        <v>308</v>
      </c>
      <c r="L465" s="12" t="s">
        <v>259</v>
      </c>
      <c r="M465" s="12" t="s">
        <v>2333</v>
      </c>
      <c r="N465" s="12" t="s">
        <v>2334</v>
      </c>
      <c r="O465" s="12" t="s">
        <v>2317</v>
      </c>
      <c r="P465" s="12"/>
      <c r="Q465" s="12"/>
      <c r="R465" s="12" t="s">
        <v>3250</v>
      </c>
      <c r="S465" s="12" t="s">
        <v>3947</v>
      </c>
      <c r="T465" s="12" t="s">
        <v>3948</v>
      </c>
    </row>
    <row r="466" spans="1:20" ht="28" x14ac:dyDescent="0.35">
      <c r="A466" s="12" t="s">
        <v>2336</v>
      </c>
      <c r="B466" s="12" t="s">
        <v>2337</v>
      </c>
      <c r="C466" s="12" t="s">
        <v>122</v>
      </c>
      <c r="D466" s="12" t="s">
        <v>33</v>
      </c>
      <c r="E466" s="12"/>
      <c r="F466" s="28" t="s">
        <v>202</v>
      </c>
      <c r="G466" s="28" t="s">
        <v>371</v>
      </c>
      <c r="H466" s="12" t="s">
        <v>204</v>
      </c>
      <c r="I466" s="12" t="s">
        <v>55</v>
      </c>
      <c r="J466" s="12" t="s">
        <v>56</v>
      </c>
      <c r="K466" s="12" t="s">
        <v>228</v>
      </c>
      <c r="L466" s="12" t="s">
        <v>198</v>
      </c>
      <c r="M466" s="12" t="s">
        <v>2338</v>
      </c>
      <c r="N466" s="12" t="s">
        <v>2339</v>
      </c>
      <c r="O466" s="12" t="s">
        <v>2317</v>
      </c>
      <c r="P466" s="12"/>
      <c r="Q466" s="12"/>
      <c r="R466" s="12" t="s">
        <v>3250</v>
      </c>
      <c r="S466" s="12"/>
      <c r="T466" s="12" t="s">
        <v>3949</v>
      </c>
    </row>
    <row r="467" spans="1:20" ht="56" x14ac:dyDescent="0.35">
      <c r="A467" s="12" t="s">
        <v>2340</v>
      </c>
      <c r="B467" s="12" t="s">
        <v>2341</v>
      </c>
      <c r="C467" s="12" t="s">
        <v>122</v>
      </c>
      <c r="D467" s="12" t="s">
        <v>33</v>
      </c>
      <c r="E467" s="12"/>
      <c r="F467" s="28" t="s">
        <v>202</v>
      </c>
      <c r="G467" s="28" t="s">
        <v>2344</v>
      </c>
      <c r="H467" s="12" t="s">
        <v>204</v>
      </c>
      <c r="I467" s="12" t="s">
        <v>55</v>
      </c>
      <c r="J467" s="12" t="s">
        <v>56</v>
      </c>
      <c r="K467" s="12" t="s">
        <v>228</v>
      </c>
      <c r="L467" s="12" t="s">
        <v>198</v>
      </c>
      <c r="M467" s="12" t="s">
        <v>2342</v>
      </c>
      <c r="N467" s="12" t="s">
        <v>2343</v>
      </c>
      <c r="O467" s="12" t="s">
        <v>2317</v>
      </c>
      <c r="P467" s="12"/>
      <c r="Q467" s="12"/>
      <c r="R467" s="12" t="s">
        <v>3250</v>
      </c>
      <c r="S467" s="12"/>
      <c r="T467" s="12" t="s">
        <v>3950</v>
      </c>
    </row>
    <row r="468" spans="1:20" x14ac:dyDescent="0.35">
      <c r="A468" s="12" t="s">
        <v>2345</v>
      </c>
      <c r="B468" s="12" t="s">
        <v>2346</v>
      </c>
      <c r="C468" s="12" t="s">
        <v>122</v>
      </c>
      <c r="D468" s="12" t="s">
        <v>33</v>
      </c>
      <c r="E468" s="12"/>
      <c r="F468" s="28" t="s">
        <v>209</v>
      </c>
      <c r="G468" s="28" t="s">
        <v>2349</v>
      </c>
      <c r="H468" s="12" t="s">
        <v>2350</v>
      </c>
      <c r="I468" s="12" t="s">
        <v>69</v>
      </c>
      <c r="J468" s="12" t="s">
        <v>70</v>
      </c>
      <c r="K468" s="12" t="s">
        <v>228</v>
      </c>
      <c r="L468" s="12" t="s">
        <v>198</v>
      </c>
      <c r="M468" s="12" t="s">
        <v>2347</v>
      </c>
      <c r="N468" s="12" t="s">
        <v>2348</v>
      </c>
      <c r="O468" s="12" t="s">
        <v>2317</v>
      </c>
      <c r="P468" s="12"/>
      <c r="Q468" s="12"/>
      <c r="R468" s="12"/>
      <c r="S468" s="12"/>
      <c r="T468" s="12" t="s">
        <v>3951</v>
      </c>
    </row>
    <row r="469" spans="1:20" ht="42" x14ac:dyDescent="0.35">
      <c r="A469" s="12" t="s">
        <v>2351</v>
      </c>
      <c r="B469" s="12" t="s">
        <v>2352</v>
      </c>
      <c r="C469" s="12" t="s">
        <v>122</v>
      </c>
      <c r="D469" s="12" t="s">
        <v>34</v>
      </c>
      <c r="E469" s="12"/>
      <c r="F469" s="28" t="s">
        <v>202</v>
      </c>
      <c r="G469" s="28" t="s">
        <v>2356</v>
      </c>
      <c r="H469" s="12" t="s">
        <v>204</v>
      </c>
      <c r="I469" s="12" t="s">
        <v>65</v>
      </c>
      <c r="J469" s="12" t="s">
        <v>66</v>
      </c>
      <c r="K469" s="12" t="s">
        <v>331</v>
      </c>
      <c r="L469" s="12" t="s">
        <v>239</v>
      </c>
      <c r="M469" s="12" t="s">
        <v>2353</v>
      </c>
      <c r="N469" s="12" t="s">
        <v>2354</v>
      </c>
      <c r="O469" s="12" t="s">
        <v>2355</v>
      </c>
      <c r="P469" s="12"/>
      <c r="Q469" s="12"/>
      <c r="R469" s="12" t="s">
        <v>3273</v>
      </c>
      <c r="S469" s="12"/>
      <c r="T469" s="12" t="s">
        <v>3952</v>
      </c>
    </row>
    <row r="470" spans="1:20" ht="28" x14ac:dyDescent="0.35">
      <c r="A470" s="12" t="s">
        <v>2357</v>
      </c>
      <c r="B470" s="12" t="s">
        <v>2358</v>
      </c>
      <c r="C470" s="12" t="s">
        <v>122</v>
      </c>
      <c r="D470" s="12" t="s">
        <v>34</v>
      </c>
      <c r="E470" s="12"/>
      <c r="F470" s="28" t="s">
        <v>216</v>
      </c>
      <c r="G470" s="28" t="s">
        <v>2361</v>
      </c>
      <c r="H470" s="12" t="s">
        <v>2362</v>
      </c>
      <c r="I470" s="12" t="s">
        <v>63</v>
      </c>
      <c r="J470" s="12" t="s">
        <v>64</v>
      </c>
      <c r="K470" s="12" t="s">
        <v>228</v>
      </c>
      <c r="L470" s="12" t="s">
        <v>198</v>
      </c>
      <c r="M470" s="12" t="s">
        <v>2359</v>
      </c>
      <c r="N470" s="12" t="s">
        <v>2360</v>
      </c>
      <c r="O470" s="12" t="s">
        <v>2355</v>
      </c>
      <c r="P470" s="12"/>
      <c r="Q470" s="12"/>
      <c r="R470" s="12"/>
      <c r="S470" s="12" t="s">
        <v>3953</v>
      </c>
      <c r="T470" s="12" t="s">
        <v>3954</v>
      </c>
    </row>
    <row r="471" spans="1:20" ht="28" x14ac:dyDescent="0.35">
      <c r="A471" s="12" t="s">
        <v>2363</v>
      </c>
      <c r="B471" s="12" t="s">
        <v>1362</v>
      </c>
      <c r="C471" s="12" t="s">
        <v>122</v>
      </c>
      <c r="D471" s="12" t="s">
        <v>33</v>
      </c>
      <c r="E471" s="12"/>
      <c r="F471" s="28" t="s">
        <v>209</v>
      </c>
      <c r="G471" s="28" t="s">
        <v>2366</v>
      </c>
      <c r="H471" s="12" t="s">
        <v>2367</v>
      </c>
      <c r="I471" s="12" t="s">
        <v>53</v>
      </c>
      <c r="J471" s="12" t="s">
        <v>54</v>
      </c>
      <c r="K471" s="12" t="s">
        <v>331</v>
      </c>
      <c r="L471" s="12" t="s">
        <v>239</v>
      </c>
      <c r="M471" s="12" t="s">
        <v>2364</v>
      </c>
      <c r="N471" s="12" t="s">
        <v>2365</v>
      </c>
      <c r="O471" s="12" t="s">
        <v>2355</v>
      </c>
      <c r="P471" s="12"/>
      <c r="Q471" s="12"/>
      <c r="R471" s="12"/>
      <c r="S471" s="12" t="s">
        <v>3955</v>
      </c>
      <c r="T471" s="12" t="s">
        <v>3956</v>
      </c>
    </row>
    <row r="472" spans="1:20" ht="28" x14ac:dyDescent="0.35">
      <c r="A472" s="12" t="s">
        <v>2368</v>
      </c>
      <c r="B472" s="12" t="s">
        <v>2369</v>
      </c>
      <c r="C472" s="12" t="s">
        <v>122</v>
      </c>
      <c r="D472" s="12" t="s">
        <v>33</v>
      </c>
      <c r="E472" s="12"/>
      <c r="F472" s="28" t="s">
        <v>202</v>
      </c>
      <c r="G472" s="28" t="s">
        <v>468</v>
      </c>
      <c r="H472" s="12" t="s">
        <v>204</v>
      </c>
      <c r="I472" s="12" t="s">
        <v>65</v>
      </c>
      <c r="J472" s="12" t="s">
        <v>66</v>
      </c>
      <c r="K472" s="12" t="s">
        <v>331</v>
      </c>
      <c r="L472" s="12" t="s">
        <v>239</v>
      </c>
      <c r="M472" s="12" t="s">
        <v>2370</v>
      </c>
      <c r="N472" s="12" t="s">
        <v>2371</v>
      </c>
      <c r="O472" s="12" t="s">
        <v>2355</v>
      </c>
      <c r="P472" s="12"/>
      <c r="Q472" s="12"/>
      <c r="R472" s="12" t="s">
        <v>3562</v>
      </c>
      <c r="S472" s="12" t="s">
        <v>3957</v>
      </c>
      <c r="T472" s="12" t="s">
        <v>3288</v>
      </c>
    </row>
    <row r="473" spans="1:20" ht="28" x14ac:dyDescent="0.35">
      <c r="A473" s="12" t="s">
        <v>2372</v>
      </c>
      <c r="B473" s="12" t="s">
        <v>2373</v>
      </c>
      <c r="C473" s="12" t="s">
        <v>122</v>
      </c>
      <c r="D473" s="12" t="s">
        <v>33</v>
      </c>
      <c r="E473" s="12"/>
      <c r="F473" s="28" t="s">
        <v>216</v>
      </c>
      <c r="G473" s="28" t="s">
        <v>2374</v>
      </c>
      <c r="H473" s="12" t="s">
        <v>2375</v>
      </c>
      <c r="I473" s="12" t="s">
        <v>75</v>
      </c>
      <c r="J473" s="12" t="s">
        <v>76</v>
      </c>
      <c r="K473" s="12" t="s">
        <v>308</v>
      </c>
      <c r="L473" s="12" t="s">
        <v>259</v>
      </c>
      <c r="M473" s="12" t="s">
        <v>2364</v>
      </c>
      <c r="N473" s="12" t="s">
        <v>2365</v>
      </c>
      <c r="O473" s="12" t="s">
        <v>2355</v>
      </c>
      <c r="P473" s="12"/>
      <c r="Q473" s="12"/>
      <c r="R473" s="12"/>
      <c r="S473" s="12" t="s">
        <v>3958</v>
      </c>
      <c r="T473" s="12" t="s">
        <v>3959</v>
      </c>
    </row>
    <row r="474" spans="1:20" ht="56" x14ac:dyDescent="0.35">
      <c r="A474" s="12" t="s">
        <v>2376</v>
      </c>
      <c r="B474" s="12" t="s">
        <v>2377</v>
      </c>
      <c r="C474" s="12" t="s">
        <v>122</v>
      </c>
      <c r="D474" s="12" t="s">
        <v>33</v>
      </c>
      <c r="E474" s="12"/>
      <c r="F474" s="28" t="s">
        <v>202</v>
      </c>
      <c r="G474" s="28" t="s">
        <v>2380</v>
      </c>
      <c r="H474" s="12" t="s">
        <v>204</v>
      </c>
      <c r="I474" s="12" t="s">
        <v>55</v>
      </c>
      <c r="J474" s="12" t="s">
        <v>56</v>
      </c>
      <c r="K474" s="12" t="s">
        <v>228</v>
      </c>
      <c r="L474" s="12" t="s">
        <v>198</v>
      </c>
      <c r="M474" s="12" t="s">
        <v>2378</v>
      </c>
      <c r="N474" s="12" t="s">
        <v>2379</v>
      </c>
      <c r="O474" s="12" t="s">
        <v>2355</v>
      </c>
      <c r="P474" s="12"/>
      <c r="Q474" s="12"/>
      <c r="R474" s="12" t="s">
        <v>3250</v>
      </c>
      <c r="S474" s="12"/>
      <c r="T474" s="12" t="s">
        <v>3960</v>
      </c>
    </row>
    <row r="475" spans="1:20" ht="28" x14ac:dyDescent="0.35">
      <c r="A475" s="12" t="s">
        <v>2381</v>
      </c>
      <c r="B475" s="12" t="s">
        <v>2382</v>
      </c>
      <c r="C475" s="12" t="s">
        <v>122</v>
      </c>
      <c r="D475" s="12" t="s">
        <v>33</v>
      </c>
      <c r="E475" s="12"/>
      <c r="F475" s="28" t="s">
        <v>202</v>
      </c>
      <c r="G475" s="28" t="s">
        <v>371</v>
      </c>
      <c r="H475" s="12" t="s">
        <v>204</v>
      </c>
      <c r="I475" s="12" t="s">
        <v>55</v>
      </c>
      <c r="J475" s="12" t="s">
        <v>56</v>
      </c>
      <c r="K475" s="12" t="s">
        <v>228</v>
      </c>
      <c r="L475" s="12" t="s">
        <v>198</v>
      </c>
      <c r="M475" s="12" t="s">
        <v>2383</v>
      </c>
      <c r="N475" s="12" t="s">
        <v>2384</v>
      </c>
      <c r="O475" s="12" t="s">
        <v>2355</v>
      </c>
      <c r="P475" s="12"/>
      <c r="Q475" s="12"/>
      <c r="R475" s="12" t="s">
        <v>3308</v>
      </c>
      <c r="S475" s="12"/>
      <c r="T475" s="12" t="s">
        <v>3961</v>
      </c>
    </row>
    <row r="476" spans="1:20" ht="56" x14ac:dyDescent="0.35">
      <c r="A476" s="12" t="s">
        <v>2385</v>
      </c>
      <c r="B476" s="12" t="s">
        <v>2386</v>
      </c>
      <c r="C476" s="12" t="s">
        <v>122</v>
      </c>
      <c r="D476" s="12" t="s">
        <v>33</v>
      </c>
      <c r="E476" s="12"/>
      <c r="F476" s="28" t="s">
        <v>202</v>
      </c>
      <c r="G476" s="28" t="s">
        <v>1048</v>
      </c>
      <c r="H476" s="12" t="s">
        <v>204</v>
      </c>
      <c r="I476" s="12" t="s">
        <v>53</v>
      </c>
      <c r="J476" s="12" t="s">
        <v>54</v>
      </c>
      <c r="K476" s="12" t="s">
        <v>308</v>
      </c>
      <c r="L476" s="12" t="s">
        <v>259</v>
      </c>
      <c r="M476" s="12" t="s">
        <v>2387</v>
      </c>
      <c r="N476" s="12" t="s">
        <v>2388</v>
      </c>
      <c r="O476" s="12" t="s">
        <v>2355</v>
      </c>
      <c r="P476" s="12"/>
      <c r="Q476" s="12"/>
      <c r="R476" s="12" t="s">
        <v>3250</v>
      </c>
      <c r="S476" s="12" t="s">
        <v>3962</v>
      </c>
      <c r="T476" s="12" t="s">
        <v>3353</v>
      </c>
    </row>
    <row r="477" spans="1:20" ht="28" x14ac:dyDescent="0.35">
      <c r="A477" s="12" t="s">
        <v>2389</v>
      </c>
      <c r="B477" s="12" t="s">
        <v>2390</v>
      </c>
      <c r="C477" s="12" t="s">
        <v>122</v>
      </c>
      <c r="D477" s="12" t="s">
        <v>33</v>
      </c>
      <c r="E477" s="12"/>
      <c r="F477" s="28" t="s">
        <v>202</v>
      </c>
      <c r="G477" s="28" t="s">
        <v>318</v>
      </c>
      <c r="H477" s="12" t="s">
        <v>204</v>
      </c>
      <c r="I477" s="12" t="s">
        <v>61</v>
      </c>
      <c r="J477" s="12" t="s">
        <v>62</v>
      </c>
      <c r="K477" s="12" t="s">
        <v>308</v>
      </c>
      <c r="L477" s="12" t="s">
        <v>259</v>
      </c>
      <c r="M477" s="12" t="s">
        <v>2391</v>
      </c>
      <c r="N477" s="12" t="s">
        <v>2392</v>
      </c>
      <c r="O477" s="12" t="s">
        <v>2355</v>
      </c>
      <c r="P477" s="12"/>
      <c r="Q477" s="12"/>
      <c r="R477" s="12" t="s">
        <v>3250</v>
      </c>
      <c r="S477" s="12" t="s">
        <v>3963</v>
      </c>
      <c r="T477" s="12" t="s">
        <v>3801</v>
      </c>
    </row>
    <row r="478" spans="1:20" x14ac:dyDescent="0.35">
      <c r="A478" s="12" t="s">
        <v>2393</v>
      </c>
      <c r="B478" s="12" t="s">
        <v>2394</v>
      </c>
      <c r="C478" s="12" t="s">
        <v>122</v>
      </c>
      <c r="D478" s="12" t="s">
        <v>33</v>
      </c>
      <c r="E478" s="12"/>
      <c r="F478" s="28" t="s">
        <v>209</v>
      </c>
      <c r="G478" s="28" t="s">
        <v>2397</v>
      </c>
      <c r="H478" s="12" t="s">
        <v>2398</v>
      </c>
      <c r="I478" s="12" t="s">
        <v>53</v>
      </c>
      <c r="J478" s="12" t="s">
        <v>54</v>
      </c>
      <c r="K478" s="12" t="s">
        <v>228</v>
      </c>
      <c r="L478" s="12" t="s">
        <v>198</v>
      </c>
      <c r="M478" s="12" t="s">
        <v>2395</v>
      </c>
      <c r="N478" s="12" t="s">
        <v>2396</v>
      </c>
      <c r="O478" s="12" t="s">
        <v>2355</v>
      </c>
      <c r="P478" s="12"/>
      <c r="Q478" s="12"/>
      <c r="R478" s="12"/>
      <c r="S478" s="12" t="s">
        <v>3964</v>
      </c>
      <c r="T478" s="12" t="s">
        <v>3965</v>
      </c>
    </row>
    <row r="479" spans="1:20" ht="28" x14ac:dyDescent="0.35">
      <c r="A479" s="12" t="s">
        <v>2557</v>
      </c>
      <c r="B479" s="12" t="s">
        <v>2558</v>
      </c>
      <c r="C479" s="12" t="s">
        <v>125</v>
      </c>
      <c r="D479" s="12"/>
      <c r="E479" s="12"/>
      <c r="F479" s="28" t="s">
        <v>2561</v>
      </c>
      <c r="G479" s="28" t="s">
        <v>2562</v>
      </c>
      <c r="H479" s="12"/>
      <c r="I479" s="12" t="s">
        <v>65</v>
      </c>
      <c r="J479" s="12" t="s">
        <v>66</v>
      </c>
      <c r="K479" s="12" t="s">
        <v>308</v>
      </c>
      <c r="L479" s="12" t="s">
        <v>259</v>
      </c>
      <c r="M479" s="12" t="s">
        <v>2559</v>
      </c>
      <c r="N479" s="12" t="s">
        <v>2560</v>
      </c>
      <c r="O479" s="12" t="s">
        <v>228</v>
      </c>
      <c r="P479" s="12"/>
      <c r="Q479" s="12"/>
      <c r="R479" s="12"/>
      <c r="S479" s="12"/>
      <c r="T479" s="12" t="s">
        <v>3966</v>
      </c>
    </row>
    <row r="480" spans="1:20" ht="42" x14ac:dyDescent="0.35">
      <c r="A480" s="12" t="s">
        <v>2563</v>
      </c>
      <c r="B480" s="12" t="s">
        <v>2564</v>
      </c>
      <c r="C480" s="12" t="s">
        <v>122</v>
      </c>
      <c r="D480" s="12" t="s">
        <v>33</v>
      </c>
      <c r="E480" s="12" t="s">
        <v>2403</v>
      </c>
      <c r="F480" s="28" t="s">
        <v>216</v>
      </c>
      <c r="G480" s="28" t="s">
        <v>4743</v>
      </c>
      <c r="H480" s="12" t="s">
        <v>4744</v>
      </c>
      <c r="I480" s="12" t="s">
        <v>55</v>
      </c>
      <c r="J480" s="12" t="s">
        <v>56</v>
      </c>
      <c r="K480" s="12" t="s">
        <v>308</v>
      </c>
      <c r="L480" s="12" t="s">
        <v>259</v>
      </c>
      <c r="M480" s="12" t="s">
        <v>2565</v>
      </c>
      <c r="N480" s="12" t="s">
        <v>2566</v>
      </c>
      <c r="O480" s="12" t="s">
        <v>242</v>
      </c>
      <c r="P480" s="12" t="s">
        <v>3292</v>
      </c>
      <c r="Q480" s="12" t="s">
        <v>3967</v>
      </c>
      <c r="R480" s="12" t="s">
        <v>3414</v>
      </c>
      <c r="S480" s="12" t="s">
        <v>4770</v>
      </c>
      <c r="T480" s="12" t="s">
        <v>3831</v>
      </c>
    </row>
    <row r="481" spans="1:20" x14ac:dyDescent="0.35">
      <c r="A481" s="12" t="s">
        <v>2568</v>
      </c>
      <c r="B481" s="12" t="s">
        <v>2569</v>
      </c>
      <c r="C481" s="12" t="s">
        <v>125</v>
      </c>
      <c r="D481" s="12"/>
      <c r="E481" s="12"/>
      <c r="F481" s="28" t="s">
        <v>209</v>
      </c>
      <c r="G481" s="28" t="s">
        <v>2572</v>
      </c>
      <c r="H481" s="12" t="s">
        <v>2573</v>
      </c>
      <c r="I481" s="12" t="s">
        <v>53</v>
      </c>
      <c r="J481" s="12" t="s">
        <v>54</v>
      </c>
      <c r="K481" s="12" t="s">
        <v>308</v>
      </c>
      <c r="L481" s="12" t="s">
        <v>259</v>
      </c>
      <c r="M481" s="12" t="s">
        <v>2570</v>
      </c>
      <c r="N481" s="12" t="s">
        <v>2571</v>
      </c>
      <c r="O481" s="12" t="s">
        <v>308</v>
      </c>
      <c r="P481" s="12"/>
      <c r="Q481" s="12"/>
      <c r="R481" s="12"/>
      <c r="S481" s="12"/>
      <c r="T481" s="12" t="s">
        <v>3968</v>
      </c>
    </row>
    <row r="482" spans="1:20" ht="28" x14ac:dyDescent="0.35">
      <c r="A482" s="12" t="s">
        <v>2574</v>
      </c>
      <c r="B482" s="12" t="s">
        <v>2575</v>
      </c>
      <c r="C482" s="12" t="s">
        <v>125</v>
      </c>
      <c r="D482" s="12"/>
      <c r="E482" s="12"/>
      <c r="F482" s="28" t="s">
        <v>209</v>
      </c>
      <c r="G482" s="28" t="s">
        <v>2578</v>
      </c>
      <c r="H482" s="12" t="s">
        <v>2579</v>
      </c>
      <c r="I482" s="12" t="s">
        <v>53</v>
      </c>
      <c r="J482" s="12" t="s">
        <v>54</v>
      </c>
      <c r="K482" s="12" t="s">
        <v>308</v>
      </c>
      <c r="L482" s="12" t="s">
        <v>259</v>
      </c>
      <c r="M482" s="12" t="s">
        <v>2576</v>
      </c>
      <c r="N482" s="12" t="s">
        <v>2577</v>
      </c>
      <c r="O482" s="12" t="s">
        <v>341</v>
      </c>
      <c r="P482" s="12"/>
      <c r="Q482" s="12"/>
      <c r="R482" s="12"/>
      <c r="S482" s="12"/>
      <c r="T482" s="12" t="s">
        <v>3969</v>
      </c>
    </row>
    <row r="483" spans="1:20" ht="28" x14ac:dyDescent="0.35">
      <c r="A483" s="12" t="s">
        <v>2580</v>
      </c>
      <c r="B483" s="12" t="s">
        <v>2581</v>
      </c>
      <c r="C483" s="12" t="s">
        <v>125</v>
      </c>
      <c r="D483" s="12"/>
      <c r="E483" s="12"/>
      <c r="F483" s="28" t="s">
        <v>2561</v>
      </c>
      <c r="G483" s="28" t="s">
        <v>2584</v>
      </c>
      <c r="H483" s="12"/>
      <c r="I483" s="12" t="s">
        <v>83</v>
      </c>
      <c r="J483" s="12" t="s">
        <v>84</v>
      </c>
      <c r="K483" s="12" t="s">
        <v>308</v>
      </c>
      <c r="L483" s="12" t="s">
        <v>259</v>
      </c>
      <c r="M483" s="12" t="s">
        <v>2582</v>
      </c>
      <c r="N483" s="12" t="s">
        <v>2583</v>
      </c>
      <c r="O483" s="12" t="s">
        <v>341</v>
      </c>
      <c r="P483" s="12"/>
      <c r="Q483" s="12"/>
      <c r="R483" s="12"/>
      <c r="S483" s="12"/>
      <c r="T483" s="12" t="s">
        <v>3397</v>
      </c>
    </row>
    <row r="484" spans="1:20" ht="28" x14ac:dyDescent="0.35">
      <c r="A484" s="12" t="s">
        <v>2585</v>
      </c>
      <c r="B484" s="12" t="s">
        <v>2586</v>
      </c>
      <c r="C484" s="12" t="s">
        <v>125</v>
      </c>
      <c r="D484" s="12"/>
      <c r="E484" s="12"/>
      <c r="F484" s="28" t="s">
        <v>2561</v>
      </c>
      <c r="G484" s="28" t="s">
        <v>2587</v>
      </c>
      <c r="H484" s="12"/>
      <c r="I484" s="12" t="s">
        <v>69</v>
      </c>
      <c r="J484" s="12" t="s">
        <v>70</v>
      </c>
      <c r="K484" s="12" t="s">
        <v>228</v>
      </c>
      <c r="L484" s="12" t="s">
        <v>198</v>
      </c>
      <c r="M484" s="12" t="s">
        <v>369</v>
      </c>
      <c r="N484" s="12" t="s">
        <v>383</v>
      </c>
      <c r="O484" s="12" t="s">
        <v>341</v>
      </c>
      <c r="P484" s="12"/>
      <c r="Q484" s="12"/>
      <c r="R484" s="12"/>
      <c r="S484" s="12"/>
      <c r="T484" s="12" t="s">
        <v>3750</v>
      </c>
    </row>
    <row r="485" spans="1:20" ht="56" x14ac:dyDescent="0.35">
      <c r="A485" s="12" t="s">
        <v>2588</v>
      </c>
      <c r="B485" s="12" t="s">
        <v>2589</v>
      </c>
      <c r="C485" s="12" t="s">
        <v>122</v>
      </c>
      <c r="D485" s="12" t="s">
        <v>34</v>
      </c>
      <c r="E485" s="12"/>
      <c r="F485" s="28" t="s">
        <v>216</v>
      </c>
      <c r="G485" s="28" t="s">
        <v>4708</v>
      </c>
      <c r="H485" s="12" t="s">
        <v>4709</v>
      </c>
      <c r="I485" s="12" t="s">
        <v>65</v>
      </c>
      <c r="J485" s="12" t="s">
        <v>66</v>
      </c>
      <c r="K485" s="12" t="s">
        <v>308</v>
      </c>
      <c r="L485" s="12" t="s">
        <v>259</v>
      </c>
      <c r="M485" s="12" t="s">
        <v>2590</v>
      </c>
      <c r="N485" s="12" t="s">
        <v>2591</v>
      </c>
      <c r="O485" s="12" t="s">
        <v>430</v>
      </c>
      <c r="P485" s="12"/>
      <c r="Q485" s="12"/>
      <c r="R485" s="12"/>
      <c r="S485" s="12" t="s">
        <v>4771</v>
      </c>
      <c r="T485" s="12" t="s">
        <v>3970</v>
      </c>
    </row>
    <row r="486" spans="1:20" ht="28" x14ac:dyDescent="0.35">
      <c r="A486" s="12" t="s">
        <v>2592</v>
      </c>
      <c r="B486" s="12" t="s">
        <v>2593</v>
      </c>
      <c r="C486" s="12" t="s">
        <v>125</v>
      </c>
      <c r="D486" s="12"/>
      <c r="E486" s="12"/>
      <c r="F486" s="28" t="s">
        <v>2561</v>
      </c>
      <c r="G486" s="28" t="s">
        <v>2562</v>
      </c>
      <c r="H486" s="12"/>
      <c r="I486" s="12" t="s">
        <v>65</v>
      </c>
      <c r="J486" s="12" t="s">
        <v>66</v>
      </c>
      <c r="K486" s="12" t="s">
        <v>228</v>
      </c>
      <c r="L486" s="12" t="s">
        <v>198</v>
      </c>
      <c r="M486" s="12" t="s">
        <v>466</v>
      </c>
      <c r="N486" s="12" t="s">
        <v>467</v>
      </c>
      <c r="O486" s="12" t="s">
        <v>457</v>
      </c>
      <c r="P486" s="12"/>
      <c r="Q486" s="12"/>
      <c r="R486" s="12"/>
      <c r="S486" s="12"/>
      <c r="T486" s="12" t="s">
        <v>3971</v>
      </c>
    </row>
    <row r="487" spans="1:20" ht="28" x14ac:dyDescent="0.35">
      <c r="A487" s="12" t="s">
        <v>2594</v>
      </c>
      <c r="B487" s="12" t="s">
        <v>2595</v>
      </c>
      <c r="C487" s="12" t="s">
        <v>125</v>
      </c>
      <c r="D487" s="12"/>
      <c r="E487" s="12"/>
      <c r="F487" s="28" t="s">
        <v>2561</v>
      </c>
      <c r="G487" s="28" t="s">
        <v>2598</v>
      </c>
      <c r="H487" s="12"/>
      <c r="I487" s="12" t="s">
        <v>85</v>
      </c>
      <c r="J487" s="12" t="s">
        <v>86</v>
      </c>
      <c r="K487" s="12" t="s">
        <v>228</v>
      </c>
      <c r="L487" s="12" t="s">
        <v>198</v>
      </c>
      <c r="M487" s="12" t="s">
        <v>2596</v>
      </c>
      <c r="N487" s="12" t="s">
        <v>2597</v>
      </c>
      <c r="O487" s="12" t="s">
        <v>613</v>
      </c>
      <c r="P487" s="12"/>
      <c r="Q487" s="12"/>
      <c r="R487" s="12"/>
      <c r="S487" s="12"/>
      <c r="T487" s="12" t="s">
        <v>3972</v>
      </c>
    </row>
    <row r="488" spans="1:20" ht="28" x14ac:dyDescent="0.35">
      <c r="A488" s="12" t="s">
        <v>2599</v>
      </c>
      <c r="B488" s="12" t="s">
        <v>2600</v>
      </c>
      <c r="C488" s="12" t="s">
        <v>125</v>
      </c>
      <c r="D488" s="12"/>
      <c r="E488" s="12"/>
      <c r="F488" s="28" t="s">
        <v>2561</v>
      </c>
      <c r="G488" s="28" t="s">
        <v>2603</v>
      </c>
      <c r="H488" s="12"/>
      <c r="I488" s="12" t="s">
        <v>59</v>
      </c>
      <c r="J488" s="12" t="s">
        <v>60</v>
      </c>
      <c r="K488" s="12" t="s">
        <v>228</v>
      </c>
      <c r="L488" s="12" t="s">
        <v>198</v>
      </c>
      <c r="M488" s="12" t="s">
        <v>2601</v>
      </c>
      <c r="N488" s="12" t="s">
        <v>2602</v>
      </c>
      <c r="O488" s="12" t="s">
        <v>667</v>
      </c>
      <c r="P488" s="12"/>
      <c r="Q488" s="12"/>
      <c r="R488" s="12"/>
      <c r="S488" s="12"/>
      <c r="T488" s="12" t="s">
        <v>3973</v>
      </c>
    </row>
    <row r="489" spans="1:20" ht="56" x14ac:dyDescent="0.35">
      <c r="A489" s="12" t="s">
        <v>2604</v>
      </c>
      <c r="B489" s="12" t="s">
        <v>2605</v>
      </c>
      <c r="C489" s="12" t="s">
        <v>122</v>
      </c>
      <c r="D489" s="12" t="s">
        <v>34</v>
      </c>
      <c r="E489" s="12"/>
      <c r="F489" s="28" t="s">
        <v>216</v>
      </c>
      <c r="G489" s="28" t="s">
        <v>4710</v>
      </c>
      <c r="H489" s="12" t="s">
        <v>4711</v>
      </c>
      <c r="I489" s="12" t="s">
        <v>65</v>
      </c>
      <c r="J489" s="12" t="s">
        <v>66</v>
      </c>
      <c r="K489" s="12" t="s">
        <v>308</v>
      </c>
      <c r="L489" s="12" t="s">
        <v>259</v>
      </c>
      <c r="M489" s="12" t="s">
        <v>2460</v>
      </c>
      <c r="N489" s="12" t="s">
        <v>2461</v>
      </c>
      <c r="O489" s="12" t="s">
        <v>705</v>
      </c>
      <c r="P489" s="12"/>
      <c r="Q489" s="12"/>
      <c r="R489" s="12" t="s">
        <v>3974</v>
      </c>
      <c r="S489" s="12" t="s">
        <v>4772</v>
      </c>
      <c r="T489" s="12" t="s">
        <v>3975</v>
      </c>
    </row>
    <row r="490" spans="1:20" x14ac:dyDescent="0.35">
      <c r="A490" s="12" t="s">
        <v>2606</v>
      </c>
      <c r="B490" s="12" t="s">
        <v>2607</v>
      </c>
      <c r="C490" s="12" t="s">
        <v>122</v>
      </c>
      <c r="D490" s="12" t="s">
        <v>34</v>
      </c>
      <c r="E490" s="12"/>
      <c r="F490" s="28" t="s">
        <v>216</v>
      </c>
      <c r="G490" s="28" t="s">
        <v>4712</v>
      </c>
      <c r="H490" s="12" t="s">
        <v>4713</v>
      </c>
      <c r="I490" s="12" t="s">
        <v>65</v>
      </c>
      <c r="J490" s="12" t="s">
        <v>66</v>
      </c>
      <c r="K490" s="12" t="s">
        <v>228</v>
      </c>
      <c r="L490" s="12" t="s">
        <v>198</v>
      </c>
      <c r="M490" s="12" t="s">
        <v>2608</v>
      </c>
      <c r="N490" s="12" t="s">
        <v>2609</v>
      </c>
      <c r="O490" s="12" t="s">
        <v>705</v>
      </c>
      <c r="P490" s="12"/>
      <c r="Q490" s="12"/>
      <c r="R490" s="12"/>
      <c r="S490" s="12" t="s">
        <v>4773</v>
      </c>
      <c r="T490" s="12" t="s">
        <v>3976</v>
      </c>
    </row>
    <row r="491" spans="1:20" ht="28" x14ac:dyDescent="0.35">
      <c r="A491" s="12" t="s">
        <v>2610</v>
      </c>
      <c r="B491" s="12" t="s">
        <v>2611</v>
      </c>
      <c r="C491" s="12" t="s">
        <v>125</v>
      </c>
      <c r="D491" s="12"/>
      <c r="E491" s="12"/>
      <c r="F491" s="28" t="s">
        <v>2561</v>
      </c>
      <c r="G491" s="28" t="s">
        <v>2567</v>
      </c>
      <c r="H491" s="12"/>
      <c r="I491" s="12" t="s">
        <v>55</v>
      </c>
      <c r="J491" s="12" t="s">
        <v>56</v>
      </c>
      <c r="K491" s="12" t="s">
        <v>228</v>
      </c>
      <c r="L491" s="12" t="s">
        <v>198</v>
      </c>
      <c r="M491" s="12" t="s">
        <v>2612</v>
      </c>
      <c r="N491" s="12" t="s">
        <v>2613</v>
      </c>
      <c r="O491" s="12" t="s">
        <v>724</v>
      </c>
      <c r="P491" s="12"/>
      <c r="Q491" s="12"/>
      <c r="R491" s="12"/>
      <c r="S491" s="12"/>
      <c r="T491" s="12" t="s">
        <v>3977</v>
      </c>
    </row>
    <row r="492" spans="1:20" x14ac:dyDescent="0.35">
      <c r="A492" s="12" t="s">
        <v>2614</v>
      </c>
      <c r="B492" s="12" t="s">
        <v>2615</v>
      </c>
      <c r="C492" s="12" t="s">
        <v>125</v>
      </c>
      <c r="D492" s="12"/>
      <c r="E492" s="12"/>
      <c r="F492" s="28" t="s">
        <v>209</v>
      </c>
      <c r="G492" s="28" t="s">
        <v>2616</v>
      </c>
      <c r="H492" s="12" t="s">
        <v>2617</v>
      </c>
      <c r="I492" s="12" t="s">
        <v>53</v>
      </c>
      <c r="J492" s="12" t="s">
        <v>54</v>
      </c>
      <c r="K492" s="12" t="s">
        <v>228</v>
      </c>
      <c r="L492" s="12" t="s">
        <v>198</v>
      </c>
      <c r="M492" s="12" t="s">
        <v>763</v>
      </c>
      <c r="N492" s="12" t="s">
        <v>764</v>
      </c>
      <c r="O492" s="12" t="s">
        <v>724</v>
      </c>
      <c r="P492" s="12"/>
      <c r="Q492" s="12"/>
      <c r="R492" s="12"/>
      <c r="S492" s="12"/>
      <c r="T492" s="12" t="s">
        <v>3978</v>
      </c>
    </row>
    <row r="493" spans="1:20" ht="28" x14ac:dyDescent="0.35">
      <c r="A493" s="12" t="s">
        <v>2618</v>
      </c>
      <c r="B493" s="12" t="s">
        <v>2619</v>
      </c>
      <c r="C493" s="12" t="s">
        <v>125</v>
      </c>
      <c r="D493" s="12"/>
      <c r="E493" s="12"/>
      <c r="F493" s="28" t="s">
        <v>2561</v>
      </c>
      <c r="G493" s="28" t="s">
        <v>2567</v>
      </c>
      <c r="H493" s="12"/>
      <c r="I493" s="12" t="s">
        <v>55</v>
      </c>
      <c r="J493" s="12" t="s">
        <v>56</v>
      </c>
      <c r="K493" s="12" t="s">
        <v>228</v>
      </c>
      <c r="L493" s="12" t="s">
        <v>198</v>
      </c>
      <c r="M493" s="12" t="s">
        <v>2620</v>
      </c>
      <c r="N493" s="12" t="s">
        <v>2621</v>
      </c>
      <c r="O493" s="12" t="s">
        <v>806</v>
      </c>
      <c r="P493" s="12"/>
      <c r="Q493" s="12"/>
      <c r="R493" s="12"/>
      <c r="S493" s="12"/>
      <c r="T493" s="12" t="s">
        <v>3979</v>
      </c>
    </row>
    <row r="494" spans="1:20" ht="28" x14ac:dyDescent="0.35">
      <c r="A494" s="12" t="s">
        <v>2622</v>
      </c>
      <c r="B494" s="12" t="s">
        <v>2623</v>
      </c>
      <c r="C494" s="12" t="s">
        <v>125</v>
      </c>
      <c r="D494" s="12"/>
      <c r="E494" s="12"/>
      <c r="F494" s="28" t="s">
        <v>2561</v>
      </c>
      <c r="G494" s="28" t="s">
        <v>2567</v>
      </c>
      <c r="H494" s="12"/>
      <c r="I494" s="12" t="s">
        <v>55</v>
      </c>
      <c r="J494" s="12" t="s">
        <v>56</v>
      </c>
      <c r="K494" s="12" t="s">
        <v>308</v>
      </c>
      <c r="L494" s="12" t="s">
        <v>259</v>
      </c>
      <c r="M494" s="12" t="s">
        <v>2624</v>
      </c>
      <c r="N494" s="12" t="s">
        <v>2625</v>
      </c>
      <c r="O494" s="12" t="s">
        <v>806</v>
      </c>
      <c r="P494" s="12"/>
      <c r="Q494" s="12"/>
      <c r="R494" s="12"/>
      <c r="S494" s="12"/>
      <c r="T494" s="12" t="s">
        <v>3980</v>
      </c>
    </row>
    <row r="495" spans="1:20" x14ac:dyDescent="0.35">
      <c r="A495" s="12" t="s">
        <v>2626</v>
      </c>
      <c r="B495" s="12" t="s">
        <v>2627</v>
      </c>
      <c r="C495" s="12" t="s">
        <v>122</v>
      </c>
      <c r="D495" s="12" t="s">
        <v>34</v>
      </c>
      <c r="E495" s="12"/>
      <c r="F495" s="28" t="s">
        <v>216</v>
      </c>
      <c r="G495" s="28" t="s">
        <v>4714</v>
      </c>
      <c r="H495" s="12" t="s">
        <v>4715</v>
      </c>
      <c r="I495" s="12" t="s">
        <v>63</v>
      </c>
      <c r="J495" s="12" t="s">
        <v>64</v>
      </c>
      <c r="K495" s="12" t="s">
        <v>228</v>
      </c>
      <c r="L495" s="12" t="s">
        <v>198</v>
      </c>
      <c r="M495" s="12" t="s">
        <v>2628</v>
      </c>
      <c r="N495" s="12" t="s">
        <v>2629</v>
      </c>
      <c r="O495" s="12" t="s">
        <v>850</v>
      </c>
      <c r="P495" s="12"/>
      <c r="Q495" s="12"/>
      <c r="R495" s="12"/>
      <c r="S495" s="12" t="s">
        <v>4774</v>
      </c>
      <c r="T495" s="12" t="s">
        <v>3981</v>
      </c>
    </row>
    <row r="496" spans="1:20" ht="28" x14ac:dyDescent="0.35">
      <c r="A496" s="12" t="s">
        <v>2631</v>
      </c>
      <c r="B496" s="12" t="s">
        <v>2253</v>
      </c>
      <c r="C496" s="12" t="s">
        <v>125</v>
      </c>
      <c r="D496" s="12"/>
      <c r="E496" s="12"/>
      <c r="F496" s="28" t="s">
        <v>2561</v>
      </c>
      <c r="G496" s="28" t="s">
        <v>2584</v>
      </c>
      <c r="H496" s="12"/>
      <c r="I496" s="12" t="s">
        <v>83</v>
      </c>
      <c r="J496" s="12" t="s">
        <v>84</v>
      </c>
      <c r="K496" s="12" t="s">
        <v>228</v>
      </c>
      <c r="L496" s="12" t="s">
        <v>198</v>
      </c>
      <c r="M496" s="12" t="s">
        <v>2632</v>
      </c>
      <c r="N496" s="12" t="s">
        <v>2633</v>
      </c>
      <c r="O496" s="12" t="s">
        <v>850</v>
      </c>
      <c r="P496" s="12"/>
      <c r="Q496" s="12"/>
      <c r="R496" s="12"/>
      <c r="S496" s="12"/>
      <c r="T496" s="12" t="s">
        <v>3591</v>
      </c>
    </row>
    <row r="497" spans="1:20" ht="28" x14ac:dyDescent="0.35">
      <c r="A497" s="12" t="s">
        <v>2634</v>
      </c>
      <c r="B497" s="12" t="s">
        <v>2635</v>
      </c>
      <c r="C497" s="12" t="s">
        <v>125</v>
      </c>
      <c r="D497" s="12"/>
      <c r="E497" s="12"/>
      <c r="F497" s="28" t="s">
        <v>2561</v>
      </c>
      <c r="G497" s="28" t="s">
        <v>2630</v>
      </c>
      <c r="H497" s="12"/>
      <c r="I497" s="12" t="s">
        <v>63</v>
      </c>
      <c r="J497" s="12" t="s">
        <v>64</v>
      </c>
      <c r="K497" s="12" t="s">
        <v>228</v>
      </c>
      <c r="L497" s="12" t="s">
        <v>198</v>
      </c>
      <c r="M497" s="12" t="s">
        <v>2636</v>
      </c>
      <c r="N497" s="12" t="s">
        <v>2637</v>
      </c>
      <c r="O497" s="12" t="s">
        <v>850</v>
      </c>
      <c r="P497" s="12"/>
      <c r="Q497" s="12"/>
      <c r="R497" s="12"/>
      <c r="S497" s="12"/>
      <c r="T497" s="12" t="s">
        <v>3495</v>
      </c>
    </row>
    <row r="498" spans="1:20" ht="28" x14ac:dyDescent="0.35">
      <c r="A498" s="12" t="s">
        <v>2638</v>
      </c>
      <c r="B498" s="12" t="s">
        <v>2639</v>
      </c>
      <c r="C498" s="12" t="s">
        <v>122</v>
      </c>
      <c r="D498" s="12" t="s">
        <v>34</v>
      </c>
      <c r="E498" s="12" t="s">
        <v>2414</v>
      </c>
      <c r="F498" s="28" t="s">
        <v>216</v>
      </c>
      <c r="G498" s="28" t="s">
        <v>4750</v>
      </c>
      <c r="H498" s="12" t="s">
        <v>4751</v>
      </c>
      <c r="I498" s="12" t="s">
        <v>63</v>
      </c>
      <c r="J498" s="12" t="s">
        <v>64</v>
      </c>
      <c r="K498" s="12" t="s">
        <v>308</v>
      </c>
      <c r="L498" s="12" t="s">
        <v>259</v>
      </c>
      <c r="M498" s="12" t="s">
        <v>2640</v>
      </c>
      <c r="N498" s="12" t="s">
        <v>2641</v>
      </c>
      <c r="O498" s="12" t="s">
        <v>873</v>
      </c>
      <c r="P498" s="12" t="s">
        <v>3325</v>
      </c>
      <c r="Q498" s="12" t="s">
        <v>3982</v>
      </c>
      <c r="R498" s="12"/>
      <c r="S498" s="12" t="s">
        <v>4775</v>
      </c>
      <c r="T498" s="12" t="s">
        <v>3983</v>
      </c>
    </row>
    <row r="499" spans="1:20" ht="28" x14ac:dyDescent="0.35">
      <c r="A499" s="12" t="s">
        <v>2642</v>
      </c>
      <c r="B499" s="12" t="s">
        <v>2643</v>
      </c>
      <c r="C499" s="12" t="s">
        <v>125</v>
      </c>
      <c r="D499" s="12"/>
      <c r="E499" s="12"/>
      <c r="F499" s="28" t="s">
        <v>2561</v>
      </c>
      <c r="G499" s="28" t="s">
        <v>2630</v>
      </c>
      <c r="H499" s="12"/>
      <c r="I499" s="12" t="s">
        <v>63</v>
      </c>
      <c r="J499" s="12" t="s">
        <v>64</v>
      </c>
      <c r="K499" s="12" t="s">
        <v>228</v>
      </c>
      <c r="L499" s="12" t="s">
        <v>198</v>
      </c>
      <c r="M499" s="12" t="s">
        <v>2644</v>
      </c>
      <c r="N499" s="12" t="s">
        <v>2645</v>
      </c>
      <c r="O499" s="12" t="s">
        <v>957</v>
      </c>
      <c r="P499" s="12"/>
      <c r="Q499" s="12"/>
      <c r="R499" s="12"/>
      <c r="S499" s="12"/>
      <c r="T499" s="12" t="s">
        <v>3984</v>
      </c>
    </row>
    <row r="500" spans="1:20" ht="56" x14ac:dyDescent="0.35">
      <c r="A500" s="12" t="s">
        <v>2646</v>
      </c>
      <c r="B500" s="12" t="s">
        <v>2647</v>
      </c>
      <c r="C500" s="12" t="s">
        <v>122</v>
      </c>
      <c r="D500" s="12" t="s">
        <v>33</v>
      </c>
      <c r="E500" s="12"/>
      <c r="F500" s="28" t="s">
        <v>216</v>
      </c>
      <c r="G500" s="28" t="s">
        <v>4716</v>
      </c>
      <c r="H500" s="12" t="s">
        <v>4717</v>
      </c>
      <c r="I500" s="12" t="s">
        <v>53</v>
      </c>
      <c r="J500" s="12" t="s">
        <v>54</v>
      </c>
      <c r="K500" s="12" t="s">
        <v>228</v>
      </c>
      <c r="L500" s="12" t="s">
        <v>198</v>
      </c>
      <c r="M500" s="12" t="s">
        <v>1007</v>
      </c>
      <c r="N500" s="12" t="s">
        <v>1023</v>
      </c>
      <c r="O500" s="12" t="s">
        <v>985</v>
      </c>
      <c r="P500" s="12"/>
      <c r="Q500" s="12"/>
      <c r="R500" s="12"/>
      <c r="S500" s="12" t="s">
        <v>4776</v>
      </c>
      <c r="T500" s="12" t="s">
        <v>3358</v>
      </c>
    </row>
    <row r="501" spans="1:20" ht="28" x14ac:dyDescent="0.35">
      <c r="A501" s="12" t="s">
        <v>2649</v>
      </c>
      <c r="B501" s="12" t="s">
        <v>2650</v>
      </c>
      <c r="C501" s="12" t="s">
        <v>125</v>
      </c>
      <c r="D501" s="12"/>
      <c r="E501" s="12"/>
      <c r="F501" s="28" t="s">
        <v>2561</v>
      </c>
      <c r="G501" s="28" t="s">
        <v>2653</v>
      </c>
      <c r="H501" s="12"/>
      <c r="I501" s="12" t="s">
        <v>57</v>
      </c>
      <c r="J501" s="12" t="s">
        <v>58</v>
      </c>
      <c r="K501" s="12" t="s">
        <v>308</v>
      </c>
      <c r="L501" s="12" t="s">
        <v>259</v>
      </c>
      <c r="M501" s="12" t="s">
        <v>2651</v>
      </c>
      <c r="N501" s="12" t="s">
        <v>2652</v>
      </c>
      <c r="O501" s="12" t="s">
        <v>985</v>
      </c>
      <c r="P501" s="12"/>
      <c r="Q501" s="12"/>
      <c r="R501" s="12"/>
      <c r="S501" s="12"/>
      <c r="T501" s="12" t="s">
        <v>3985</v>
      </c>
    </row>
    <row r="502" spans="1:20" ht="28" x14ac:dyDescent="0.35">
      <c r="A502" s="12" t="s">
        <v>2654</v>
      </c>
      <c r="B502" s="12" t="s">
        <v>2655</v>
      </c>
      <c r="C502" s="12" t="s">
        <v>125</v>
      </c>
      <c r="D502" s="12"/>
      <c r="E502" s="12"/>
      <c r="F502" s="28" t="s">
        <v>2561</v>
      </c>
      <c r="G502" s="28" t="s">
        <v>2630</v>
      </c>
      <c r="H502" s="12"/>
      <c r="I502" s="12" t="s">
        <v>63</v>
      </c>
      <c r="J502" s="12" t="s">
        <v>64</v>
      </c>
      <c r="K502" s="12" t="s">
        <v>228</v>
      </c>
      <c r="L502" s="12" t="s">
        <v>198</v>
      </c>
      <c r="M502" s="12" t="s">
        <v>983</v>
      </c>
      <c r="N502" s="12" t="s">
        <v>984</v>
      </c>
      <c r="O502" s="12" t="s">
        <v>985</v>
      </c>
      <c r="P502" s="12"/>
      <c r="Q502" s="12"/>
      <c r="R502" s="12"/>
      <c r="S502" s="12"/>
      <c r="T502" s="12" t="s">
        <v>3986</v>
      </c>
    </row>
    <row r="503" spans="1:20" ht="28" x14ac:dyDescent="0.35">
      <c r="A503" s="12" t="s">
        <v>2656</v>
      </c>
      <c r="B503" s="12" t="s">
        <v>2657</v>
      </c>
      <c r="C503" s="12" t="s">
        <v>125</v>
      </c>
      <c r="D503" s="12"/>
      <c r="E503" s="12"/>
      <c r="F503" s="28" t="s">
        <v>2561</v>
      </c>
      <c r="G503" s="28" t="s">
        <v>2660</v>
      </c>
      <c r="H503" s="12"/>
      <c r="I503" s="12" t="s">
        <v>81</v>
      </c>
      <c r="J503" s="12" t="s">
        <v>82</v>
      </c>
      <c r="K503" s="12" t="s">
        <v>228</v>
      </c>
      <c r="L503" s="12" t="s">
        <v>198</v>
      </c>
      <c r="M503" s="12" t="s">
        <v>2658</v>
      </c>
      <c r="N503" s="12" t="s">
        <v>2659</v>
      </c>
      <c r="O503" s="12" t="s">
        <v>1047</v>
      </c>
      <c r="P503" s="12"/>
      <c r="Q503" s="12"/>
      <c r="R503" s="12"/>
      <c r="S503" s="12"/>
      <c r="T503" s="12" t="s">
        <v>3987</v>
      </c>
    </row>
    <row r="504" spans="1:20" x14ac:dyDescent="0.35">
      <c r="A504" s="12" t="s">
        <v>2661</v>
      </c>
      <c r="B504" s="12" t="s">
        <v>2662</v>
      </c>
      <c r="C504" s="12" t="s">
        <v>125</v>
      </c>
      <c r="D504" s="12"/>
      <c r="E504" s="12"/>
      <c r="F504" s="28" t="s">
        <v>209</v>
      </c>
      <c r="G504" s="28" t="s">
        <v>2663</v>
      </c>
      <c r="H504" s="12" t="s">
        <v>2664</v>
      </c>
      <c r="I504" s="12" t="s">
        <v>53</v>
      </c>
      <c r="J504" s="12" t="s">
        <v>54</v>
      </c>
      <c r="K504" s="12" t="s">
        <v>228</v>
      </c>
      <c r="L504" s="12" t="s">
        <v>198</v>
      </c>
      <c r="M504" s="12" t="s">
        <v>1051</v>
      </c>
      <c r="N504" s="12" t="s">
        <v>1052</v>
      </c>
      <c r="O504" s="12" t="s">
        <v>1047</v>
      </c>
      <c r="P504" s="12"/>
      <c r="Q504" s="12"/>
      <c r="R504" s="12"/>
      <c r="S504" s="12"/>
      <c r="T504" s="12" t="s">
        <v>3988</v>
      </c>
    </row>
    <row r="505" spans="1:20" ht="28" x14ac:dyDescent="0.35">
      <c r="A505" s="12" t="s">
        <v>2665</v>
      </c>
      <c r="B505" s="12" t="s">
        <v>2666</v>
      </c>
      <c r="C505" s="12" t="s">
        <v>125</v>
      </c>
      <c r="D505" s="12"/>
      <c r="E505" s="12"/>
      <c r="F505" s="28" t="s">
        <v>2561</v>
      </c>
      <c r="G505" s="28" t="s">
        <v>2562</v>
      </c>
      <c r="H505" s="12"/>
      <c r="I505" s="12" t="s">
        <v>65</v>
      </c>
      <c r="J505" s="12" t="s">
        <v>66</v>
      </c>
      <c r="K505" s="12" t="s">
        <v>228</v>
      </c>
      <c r="L505" s="12" t="s">
        <v>198</v>
      </c>
      <c r="M505" s="12" t="s">
        <v>2667</v>
      </c>
      <c r="N505" s="12" t="s">
        <v>1107</v>
      </c>
      <c r="O505" s="12" t="s">
        <v>1047</v>
      </c>
      <c r="P505" s="12"/>
      <c r="Q505" s="12"/>
      <c r="R505" s="12"/>
      <c r="S505" s="12"/>
      <c r="T505" s="12" t="s">
        <v>3989</v>
      </c>
    </row>
    <row r="506" spans="1:20" ht="28" x14ac:dyDescent="0.35">
      <c r="A506" s="12" t="s">
        <v>2668</v>
      </c>
      <c r="B506" s="12" t="s">
        <v>2669</v>
      </c>
      <c r="C506" s="12" t="s">
        <v>125</v>
      </c>
      <c r="D506" s="12"/>
      <c r="E506" s="12"/>
      <c r="F506" s="28" t="s">
        <v>2561</v>
      </c>
      <c r="G506" s="28" t="s">
        <v>2630</v>
      </c>
      <c r="H506" s="12"/>
      <c r="I506" s="12" t="s">
        <v>63</v>
      </c>
      <c r="J506" s="12" t="s">
        <v>64</v>
      </c>
      <c r="K506" s="12" t="s">
        <v>228</v>
      </c>
      <c r="L506" s="12" t="s">
        <v>198</v>
      </c>
      <c r="M506" s="12" t="s">
        <v>2670</v>
      </c>
      <c r="N506" s="12" t="s">
        <v>1132</v>
      </c>
      <c r="O506" s="12" t="s">
        <v>1122</v>
      </c>
      <c r="P506" s="12"/>
      <c r="Q506" s="12"/>
      <c r="R506" s="12"/>
      <c r="S506" s="12"/>
      <c r="T506" s="12" t="s">
        <v>3990</v>
      </c>
    </row>
    <row r="507" spans="1:20" ht="28" x14ac:dyDescent="0.35">
      <c r="A507" s="12" t="s">
        <v>2671</v>
      </c>
      <c r="B507" s="12" t="s">
        <v>2469</v>
      </c>
      <c r="C507" s="12" t="s">
        <v>125</v>
      </c>
      <c r="D507" s="12"/>
      <c r="E507" s="12"/>
      <c r="F507" s="28" t="s">
        <v>2561</v>
      </c>
      <c r="G507" s="28" t="s">
        <v>2587</v>
      </c>
      <c r="H507" s="12"/>
      <c r="I507" s="12" t="s">
        <v>69</v>
      </c>
      <c r="J507" s="12" t="s">
        <v>70</v>
      </c>
      <c r="K507" s="12" t="s">
        <v>331</v>
      </c>
      <c r="L507" s="12" t="s">
        <v>239</v>
      </c>
      <c r="M507" s="12" t="s">
        <v>2672</v>
      </c>
      <c r="N507" s="12" t="s">
        <v>2673</v>
      </c>
      <c r="O507" s="12" t="s">
        <v>1122</v>
      </c>
      <c r="P507" s="12"/>
      <c r="Q507" s="12"/>
      <c r="R507" s="12"/>
      <c r="S507" s="12"/>
      <c r="T507" s="12" t="s">
        <v>3991</v>
      </c>
    </row>
    <row r="508" spans="1:20" ht="28" x14ac:dyDescent="0.35">
      <c r="A508" s="12" t="s">
        <v>2674</v>
      </c>
      <c r="B508" s="12" t="s">
        <v>2675</v>
      </c>
      <c r="C508" s="12" t="s">
        <v>125</v>
      </c>
      <c r="D508" s="12"/>
      <c r="E508" s="12"/>
      <c r="F508" s="28" t="s">
        <v>2561</v>
      </c>
      <c r="G508" s="28" t="s">
        <v>2630</v>
      </c>
      <c r="H508" s="12"/>
      <c r="I508" s="12" t="s">
        <v>63</v>
      </c>
      <c r="J508" s="12" t="s">
        <v>64</v>
      </c>
      <c r="K508" s="12" t="s">
        <v>308</v>
      </c>
      <c r="L508" s="12" t="s">
        <v>259</v>
      </c>
      <c r="M508" s="12" t="s">
        <v>2676</v>
      </c>
      <c r="N508" s="12" t="s">
        <v>2677</v>
      </c>
      <c r="O508" s="12" t="s">
        <v>1122</v>
      </c>
      <c r="P508" s="12"/>
      <c r="Q508" s="12"/>
      <c r="R508" s="12"/>
      <c r="S508" s="12"/>
      <c r="T508" s="12" t="s">
        <v>3992</v>
      </c>
    </row>
    <row r="509" spans="1:20" ht="28" x14ac:dyDescent="0.35">
      <c r="A509" s="12" t="s">
        <v>2678</v>
      </c>
      <c r="B509" s="12" t="s">
        <v>2679</v>
      </c>
      <c r="C509" s="12" t="s">
        <v>125</v>
      </c>
      <c r="D509" s="12"/>
      <c r="E509" s="12"/>
      <c r="F509" s="28" t="s">
        <v>2561</v>
      </c>
      <c r="G509" s="28" t="s">
        <v>2603</v>
      </c>
      <c r="H509" s="12"/>
      <c r="I509" s="12" t="s">
        <v>59</v>
      </c>
      <c r="J509" s="12" t="s">
        <v>60</v>
      </c>
      <c r="K509" s="12" t="s">
        <v>228</v>
      </c>
      <c r="L509" s="12" t="s">
        <v>198</v>
      </c>
      <c r="M509" s="12" t="s">
        <v>2680</v>
      </c>
      <c r="N509" s="12" t="s">
        <v>2681</v>
      </c>
      <c r="O509" s="12" t="s">
        <v>1122</v>
      </c>
      <c r="P509" s="12"/>
      <c r="Q509" s="12"/>
      <c r="R509" s="12"/>
      <c r="S509" s="12"/>
      <c r="T509" s="12" t="s">
        <v>3993</v>
      </c>
    </row>
    <row r="510" spans="1:20" ht="28" x14ac:dyDescent="0.35">
      <c r="A510" s="12" t="s">
        <v>2682</v>
      </c>
      <c r="B510" s="12" t="s">
        <v>2683</v>
      </c>
      <c r="C510" s="12" t="s">
        <v>125</v>
      </c>
      <c r="D510" s="12"/>
      <c r="E510" s="12"/>
      <c r="F510" s="28" t="s">
        <v>2561</v>
      </c>
      <c r="G510" s="28" t="s">
        <v>2648</v>
      </c>
      <c r="H510" s="12"/>
      <c r="I510" s="12" t="s">
        <v>53</v>
      </c>
      <c r="J510" s="12" t="s">
        <v>54</v>
      </c>
      <c r="K510" s="12" t="s">
        <v>228</v>
      </c>
      <c r="L510" s="12" t="s">
        <v>198</v>
      </c>
      <c r="M510" s="12" t="s">
        <v>2684</v>
      </c>
      <c r="N510" s="12" t="s">
        <v>2685</v>
      </c>
      <c r="O510" s="12" t="s">
        <v>1122</v>
      </c>
      <c r="P510" s="12"/>
      <c r="Q510" s="12"/>
      <c r="R510" s="12"/>
      <c r="S510" s="12"/>
      <c r="T510" s="12" t="s">
        <v>3994</v>
      </c>
    </row>
    <row r="511" spans="1:20" ht="28" x14ac:dyDescent="0.35">
      <c r="A511" s="12" t="s">
        <v>2686</v>
      </c>
      <c r="B511" s="12" t="s">
        <v>2687</v>
      </c>
      <c r="C511" s="12" t="s">
        <v>125</v>
      </c>
      <c r="D511" s="12"/>
      <c r="E511" s="12" t="s">
        <v>2414</v>
      </c>
      <c r="F511" s="28" t="s">
        <v>2561</v>
      </c>
      <c r="G511" s="28" t="s">
        <v>2648</v>
      </c>
      <c r="H511" s="12"/>
      <c r="I511" s="12" t="s">
        <v>53</v>
      </c>
      <c r="J511" s="12" t="s">
        <v>54</v>
      </c>
      <c r="K511" s="12" t="s">
        <v>228</v>
      </c>
      <c r="L511" s="12" t="s">
        <v>198</v>
      </c>
      <c r="M511" s="12" t="s">
        <v>2688</v>
      </c>
      <c r="N511" s="12" t="s">
        <v>2689</v>
      </c>
      <c r="O511" s="12" t="s">
        <v>1188</v>
      </c>
      <c r="P511" s="12" t="s">
        <v>3325</v>
      </c>
      <c r="Q511" s="12" t="s">
        <v>3995</v>
      </c>
      <c r="R511" s="12"/>
      <c r="S511" s="12"/>
      <c r="T511" s="12" t="s">
        <v>3996</v>
      </c>
    </row>
    <row r="512" spans="1:20" ht="98" x14ac:dyDescent="0.35">
      <c r="A512" s="12" t="s">
        <v>2690</v>
      </c>
      <c r="B512" s="12" t="s">
        <v>2691</v>
      </c>
      <c r="C512" s="12" t="s">
        <v>122</v>
      </c>
      <c r="D512" s="12" t="s">
        <v>34</v>
      </c>
      <c r="E512" s="12"/>
      <c r="F512" s="28" t="s">
        <v>216</v>
      </c>
      <c r="G512" s="28" t="s">
        <v>4718</v>
      </c>
      <c r="H512" s="12" t="s">
        <v>4719</v>
      </c>
      <c r="I512" s="12" t="s">
        <v>65</v>
      </c>
      <c r="J512" s="12" t="s">
        <v>66</v>
      </c>
      <c r="K512" s="12" t="s">
        <v>308</v>
      </c>
      <c r="L512" s="12" t="s">
        <v>259</v>
      </c>
      <c r="M512" s="12" t="s">
        <v>1199</v>
      </c>
      <c r="N512" s="12" t="s">
        <v>1200</v>
      </c>
      <c r="O512" s="12" t="s">
        <v>1188</v>
      </c>
      <c r="P512" s="12"/>
      <c r="Q512" s="12"/>
      <c r="R512" s="12"/>
      <c r="S512" s="12" t="s">
        <v>4777</v>
      </c>
      <c r="T512" s="12" t="s">
        <v>3997</v>
      </c>
    </row>
    <row r="513" spans="1:20" ht="112" x14ac:dyDescent="0.35">
      <c r="A513" s="12" t="s">
        <v>2692</v>
      </c>
      <c r="B513" s="12" t="s">
        <v>2693</v>
      </c>
      <c r="C513" s="12" t="s">
        <v>122</v>
      </c>
      <c r="D513" s="12" t="s">
        <v>34</v>
      </c>
      <c r="E513" s="12"/>
      <c r="F513" s="28" t="s">
        <v>216</v>
      </c>
      <c r="G513" s="28" t="s">
        <v>4720</v>
      </c>
      <c r="H513" s="12" t="s">
        <v>4721</v>
      </c>
      <c r="I513" s="12" t="s">
        <v>65</v>
      </c>
      <c r="J513" s="12" t="s">
        <v>66</v>
      </c>
      <c r="K513" s="12" t="s">
        <v>228</v>
      </c>
      <c r="L513" s="12" t="s">
        <v>198</v>
      </c>
      <c r="M513" s="12" t="s">
        <v>2694</v>
      </c>
      <c r="N513" s="12" t="s">
        <v>1187</v>
      </c>
      <c r="O513" s="12" t="s">
        <v>1188</v>
      </c>
      <c r="P513" s="12"/>
      <c r="Q513" s="12"/>
      <c r="R513" s="12"/>
      <c r="S513" s="12" t="s">
        <v>4778</v>
      </c>
      <c r="T513" s="12" t="s">
        <v>3998</v>
      </c>
    </row>
    <row r="514" spans="1:20" ht="28" x14ac:dyDescent="0.35">
      <c r="A514" s="12" t="s">
        <v>2695</v>
      </c>
      <c r="B514" s="12" t="s">
        <v>2696</v>
      </c>
      <c r="C514" s="12" t="s">
        <v>125</v>
      </c>
      <c r="D514" s="12"/>
      <c r="E514" s="12"/>
      <c r="F514" s="28" t="s">
        <v>2561</v>
      </c>
      <c r="G514" s="28" t="s">
        <v>2562</v>
      </c>
      <c r="H514" s="12"/>
      <c r="I514" s="12" t="s">
        <v>65</v>
      </c>
      <c r="J514" s="12" t="s">
        <v>66</v>
      </c>
      <c r="K514" s="12" t="s">
        <v>308</v>
      </c>
      <c r="L514" s="12" t="s">
        <v>259</v>
      </c>
      <c r="M514" s="12" t="s">
        <v>2697</v>
      </c>
      <c r="N514" s="12" t="s">
        <v>2698</v>
      </c>
      <c r="O514" s="12" t="s">
        <v>1419</v>
      </c>
      <c r="P514" s="12"/>
      <c r="Q514" s="12"/>
      <c r="R514" s="12"/>
      <c r="S514" s="12"/>
      <c r="T514" s="12" t="s">
        <v>3999</v>
      </c>
    </row>
    <row r="515" spans="1:20" ht="28" x14ac:dyDescent="0.35">
      <c r="A515" s="12" t="s">
        <v>2699</v>
      </c>
      <c r="B515" s="12" t="s">
        <v>2700</v>
      </c>
      <c r="C515" s="12" t="s">
        <v>125</v>
      </c>
      <c r="D515" s="12"/>
      <c r="E515" s="12"/>
      <c r="F515" s="28" t="s">
        <v>209</v>
      </c>
      <c r="G515" s="28" t="s">
        <v>2702</v>
      </c>
      <c r="H515" s="12" t="s">
        <v>2703</v>
      </c>
      <c r="I515" s="12" t="s">
        <v>73</v>
      </c>
      <c r="J515" s="12" t="s">
        <v>74</v>
      </c>
      <c r="K515" s="12" t="s">
        <v>228</v>
      </c>
      <c r="L515" s="12" t="s">
        <v>198</v>
      </c>
      <c r="M515" s="12" t="s">
        <v>2697</v>
      </c>
      <c r="N515" s="12" t="s">
        <v>2701</v>
      </c>
      <c r="O515" s="12" t="s">
        <v>1419</v>
      </c>
      <c r="P515" s="12"/>
      <c r="Q515" s="12"/>
      <c r="R515" s="12"/>
      <c r="S515" s="12"/>
      <c r="T515" s="12" t="s">
        <v>4000</v>
      </c>
    </row>
    <row r="516" spans="1:20" ht="28" x14ac:dyDescent="0.35">
      <c r="A516" s="12" t="s">
        <v>2704</v>
      </c>
      <c r="B516" s="12" t="s">
        <v>2705</v>
      </c>
      <c r="C516" s="12" t="s">
        <v>125</v>
      </c>
      <c r="D516" s="12"/>
      <c r="E516" s="12"/>
      <c r="F516" s="28" t="s">
        <v>2561</v>
      </c>
      <c r="G516" s="28" t="s">
        <v>2648</v>
      </c>
      <c r="H516" s="12"/>
      <c r="I516" s="12" t="s">
        <v>53</v>
      </c>
      <c r="J516" s="12" t="s">
        <v>54</v>
      </c>
      <c r="K516" s="12" t="s">
        <v>308</v>
      </c>
      <c r="L516" s="12" t="s">
        <v>259</v>
      </c>
      <c r="M516" s="12" t="s">
        <v>2706</v>
      </c>
      <c r="N516" s="12" t="s">
        <v>2707</v>
      </c>
      <c r="O516" s="12" t="s">
        <v>1419</v>
      </c>
      <c r="P516" s="12"/>
      <c r="Q516" s="12"/>
      <c r="R516" s="12"/>
      <c r="S516" s="12"/>
      <c r="T516" s="12" t="s">
        <v>3853</v>
      </c>
    </row>
    <row r="517" spans="1:20" ht="28" x14ac:dyDescent="0.35">
      <c r="A517" s="12" t="s">
        <v>2708</v>
      </c>
      <c r="B517" s="12" t="s">
        <v>2709</v>
      </c>
      <c r="C517" s="12" t="s">
        <v>122</v>
      </c>
      <c r="D517" s="12" t="s">
        <v>34</v>
      </c>
      <c r="E517" s="12"/>
      <c r="F517" s="28" t="s">
        <v>216</v>
      </c>
      <c r="G517" s="28" t="s">
        <v>4725</v>
      </c>
      <c r="H517" s="12" t="s">
        <v>4726</v>
      </c>
      <c r="I517" s="12" t="s">
        <v>65</v>
      </c>
      <c r="J517" s="12" t="s">
        <v>66</v>
      </c>
      <c r="K517" s="12" t="s">
        <v>228</v>
      </c>
      <c r="L517" s="12" t="s">
        <v>198</v>
      </c>
      <c r="M517" s="12" t="s">
        <v>2710</v>
      </c>
      <c r="N517" s="12" t="s">
        <v>2711</v>
      </c>
      <c r="O517" s="12" t="s">
        <v>1419</v>
      </c>
      <c r="P517" s="12" t="s">
        <v>3330</v>
      </c>
      <c r="Q517" s="12" t="s">
        <v>3444</v>
      </c>
      <c r="R517" s="12"/>
      <c r="S517" s="12" t="s">
        <v>4779</v>
      </c>
      <c r="T517" s="12" t="s">
        <v>4001</v>
      </c>
    </row>
    <row r="518" spans="1:20" ht="28" x14ac:dyDescent="0.35">
      <c r="A518" s="12" t="s">
        <v>2712</v>
      </c>
      <c r="B518" s="12" t="s">
        <v>2713</v>
      </c>
      <c r="C518" s="12" t="s">
        <v>125</v>
      </c>
      <c r="D518" s="12"/>
      <c r="E518" s="12"/>
      <c r="F518" s="28" t="s">
        <v>2561</v>
      </c>
      <c r="G518" s="28" t="s">
        <v>2562</v>
      </c>
      <c r="H518" s="12"/>
      <c r="I518" s="12" t="s">
        <v>65</v>
      </c>
      <c r="J518" s="12" t="s">
        <v>66</v>
      </c>
      <c r="K518" s="12" t="s">
        <v>228</v>
      </c>
      <c r="L518" s="12" t="s">
        <v>198</v>
      </c>
      <c r="M518" s="12" t="s">
        <v>2714</v>
      </c>
      <c r="N518" s="12" t="s">
        <v>2715</v>
      </c>
      <c r="O518" s="12" t="s">
        <v>1476</v>
      </c>
      <c r="P518" s="12"/>
      <c r="Q518" s="12"/>
      <c r="R518" s="12"/>
      <c r="S518" s="12"/>
      <c r="T518" s="12" t="s">
        <v>4002</v>
      </c>
    </row>
    <row r="519" spans="1:20" ht="28" x14ac:dyDescent="0.35">
      <c r="A519" s="12" t="s">
        <v>2716</v>
      </c>
      <c r="B519" s="12" t="s">
        <v>2717</v>
      </c>
      <c r="C519" s="12" t="s">
        <v>125</v>
      </c>
      <c r="D519" s="12"/>
      <c r="E519" s="12"/>
      <c r="F519" s="28" t="s">
        <v>2561</v>
      </c>
      <c r="G519" s="28" t="s">
        <v>2562</v>
      </c>
      <c r="H519" s="12"/>
      <c r="I519" s="12" t="s">
        <v>65</v>
      </c>
      <c r="J519" s="12" t="s">
        <v>66</v>
      </c>
      <c r="K519" s="12" t="s">
        <v>228</v>
      </c>
      <c r="L519" s="12" t="s">
        <v>198</v>
      </c>
      <c r="M519" s="12" t="s">
        <v>2718</v>
      </c>
      <c r="N519" s="12" t="s">
        <v>2719</v>
      </c>
      <c r="O519" s="12" t="s">
        <v>1511</v>
      </c>
      <c r="P519" s="12" t="s">
        <v>3330</v>
      </c>
      <c r="Q519" s="21" t="s">
        <v>4152</v>
      </c>
      <c r="R519" s="18"/>
      <c r="S519" s="12"/>
      <c r="T519" s="12" t="s">
        <v>4003</v>
      </c>
    </row>
    <row r="520" spans="1:20" ht="28" x14ac:dyDescent="0.35">
      <c r="A520" s="12" t="s">
        <v>2720</v>
      </c>
      <c r="B520" s="12" t="s">
        <v>2721</v>
      </c>
      <c r="C520" s="12" t="s">
        <v>125</v>
      </c>
      <c r="D520" s="12"/>
      <c r="E520" s="12"/>
      <c r="F520" s="28" t="s">
        <v>209</v>
      </c>
      <c r="G520" s="28" t="s">
        <v>2724</v>
      </c>
      <c r="H520" s="12" t="s">
        <v>2725</v>
      </c>
      <c r="I520" s="12" t="s">
        <v>57</v>
      </c>
      <c r="J520" s="12" t="s">
        <v>58</v>
      </c>
      <c r="K520" s="12" t="s">
        <v>308</v>
      </c>
      <c r="L520" s="12" t="s">
        <v>259</v>
      </c>
      <c r="M520" s="12" t="s">
        <v>2722</v>
      </c>
      <c r="N520" s="12" t="s">
        <v>2723</v>
      </c>
      <c r="O520" s="12" t="s">
        <v>1511</v>
      </c>
      <c r="P520" s="12"/>
      <c r="Q520" s="12"/>
      <c r="R520" s="12"/>
      <c r="S520" s="12"/>
      <c r="T520" s="12" t="s">
        <v>4004</v>
      </c>
    </row>
    <row r="521" spans="1:20" ht="42" x14ac:dyDescent="0.35">
      <c r="A521" s="12" t="s">
        <v>2726</v>
      </c>
      <c r="B521" s="12" t="s">
        <v>2727</v>
      </c>
      <c r="C521" s="12" t="s">
        <v>122</v>
      </c>
      <c r="D521" s="12" t="s">
        <v>34</v>
      </c>
      <c r="E521" s="12"/>
      <c r="F521" s="28" t="s">
        <v>216</v>
      </c>
      <c r="G521" s="28" t="s">
        <v>4727</v>
      </c>
      <c r="H521" s="12" t="s">
        <v>4728</v>
      </c>
      <c r="I521" s="12" t="s">
        <v>65</v>
      </c>
      <c r="J521" s="12" t="s">
        <v>66</v>
      </c>
      <c r="K521" s="12" t="s">
        <v>228</v>
      </c>
      <c r="L521" s="12" t="s">
        <v>198</v>
      </c>
      <c r="M521" s="12" t="s">
        <v>1573</v>
      </c>
      <c r="N521" s="12" t="s">
        <v>1574</v>
      </c>
      <c r="O521" s="12" t="s">
        <v>1575</v>
      </c>
      <c r="P521" s="12"/>
      <c r="Q521" s="12"/>
      <c r="R521" s="12"/>
      <c r="S521" s="12" t="s">
        <v>4780</v>
      </c>
      <c r="T521" s="12" t="s">
        <v>4005</v>
      </c>
    </row>
    <row r="522" spans="1:20" ht="28" x14ac:dyDescent="0.35">
      <c r="A522" s="12" t="s">
        <v>2728</v>
      </c>
      <c r="B522" s="12" t="s">
        <v>2729</v>
      </c>
      <c r="C522" s="12" t="s">
        <v>125</v>
      </c>
      <c r="D522" s="12"/>
      <c r="E522" s="12"/>
      <c r="F522" s="28" t="s">
        <v>2561</v>
      </c>
      <c r="G522" s="28" t="s">
        <v>2567</v>
      </c>
      <c r="H522" s="12"/>
      <c r="I522" s="12" t="s">
        <v>55</v>
      </c>
      <c r="J522" s="12" t="s">
        <v>56</v>
      </c>
      <c r="K522" s="12" t="s">
        <v>228</v>
      </c>
      <c r="L522" s="12" t="s">
        <v>198</v>
      </c>
      <c r="M522" s="12" t="s">
        <v>2730</v>
      </c>
      <c r="N522" s="12" t="s">
        <v>2731</v>
      </c>
      <c r="O522" s="12" t="s">
        <v>1662</v>
      </c>
      <c r="P522" s="12"/>
      <c r="Q522" s="12"/>
      <c r="R522" s="12"/>
      <c r="S522" s="12"/>
      <c r="T522" s="12" t="s">
        <v>4006</v>
      </c>
    </row>
    <row r="523" spans="1:20" ht="42" x14ac:dyDescent="0.35">
      <c r="A523" s="12" t="s">
        <v>2732</v>
      </c>
      <c r="B523" s="12" t="s">
        <v>2733</v>
      </c>
      <c r="C523" s="12" t="s">
        <v>122</v>
      </c>
      <c r="D523" s="12" t="s">
        <v>34</v>
      </c>
      <c r="E523" s="12" t="s">
        <v>2403</v>
      </c>
      <c r="F523" s="28" t="s">
        <v>216</v>
      </c>
      <c r="G523" s="28" t="s">
        <v>4758</v>
      </c>
      <c r="H523" s="12" t="s">
        <v>4759</v>
      </c>
      <c r="I523" s="12" t="s">
        <v>63</v>
      </c>
      <c r="J523" s="12" t="s">
        <v>64</v>
      </c>
      <c r="K523" s="12" t="s">
        <v>228</v>
      </c>
      <c r="L523" s="12" t="s">
        <v>198</v>
      </c>
      <c r="M523" s="12" t="s">
        <v>2734</v>
      </c>
      <c r="N523" s="12" t="s">
        <v>2735</v>
      </c>
      <c r="O523" s="12" t="s">
        <v>1678</v>
      </c>
      <c r="P523" s="12" t="s">
        <v>3292</v>
      </c>
      <c r="Q523" s="12" t="s">
        <v>4007</v>
      </c>
      <c r="R523" s="12"/>
      <c r="S523" s="12" t="s">
        <v>4781</v>
      </c>
      <c r="T523" s="12" t="s">
        <v>4008</v>
      </c>
    </row>
    <row r="524" spans="1:20" ht="28" x14ac:dyDescent="0.35">
      <c r="A524" s="12" t="s">
        <v>2736</v>
      </c>
      <c r="B524" s="12" t="s">
        <v>2737</v>
      </c>
      <c r="C524" s="12" t="s">
        <v>125</v>
      </c>
      <c r="D524" s="12"/>
      <c r="E524" s="12"/>
      <c r="F524" s="28" t="s">
        <v>2561</v>
      </c>
      <c r="G524" s="28" t="s">
        <v>2630</v>
      </c>
      <c r="H524" s="12"/>
      <c r="I524" s="12" t="s">
        <v>63</v>
      </c>
      <c r="J524" s="12" t="s">
        <v>64</v>
      </c>
      <c r="K524" s="12" t="s">
        <v>228</v>
      </c>
      <c r="L524" s="12" t="s">
        <v>198</v>
      </c>
      <c r="M524" s="12" t="s">
        <v>1704</v>
      </c>
      <c r="N524" s="12" t="s">
        <v>1705</v>
      </c>
      <c r="O524" s="12" t="s">
        <v>1678</v>
      </c>
      <c r="P524" s="12"/>
      <c r="Q524" s="12"/>
      <c r="R524" s="12"/>
      <c r="S524" s="12"/>
      <c r="T524" s="12" t="s">
        <v>4009</v>
      </c>
    </row>
    <row r="525" spans="1:20" ht="28" x14ac:dyDescent="0.35">
      <c r="A525" s="12" t="s">
        <v>2738</v>
      </c>
      <c r="B525" s="12" t="s">
        <v>2739</v>
      </c>
      <c r="C525" s="12" t="s">
        <v>125</v>
      </c>
      <c r="D525" s="12"/>
      <c r="E525" s="12"/>
      <c r="F525" s="28" t="s">
        <v>2561</v>
      </c>
      <c r="G525" s="28" t="s">
        <v>2653</v>
      </c>
      <c r="H525" s="12"/>
      <c r="I525" s="12" t="s">
        <v>57</v>
      </c>
      <c r="J525" s="12" t="s">
        <v>58</v>
      </c>
      <c r="K525" s="12" t="s">
        <v>331</v>
      </c>
      <c r="L525" s="12" t="s">
        <v>239</v>
      </c>
      <c r="M525" s="12" t="s">
        <v>2740</v>
      </c>
      <c r="N525" s="12" t="s">
        <v>2741</v>
      </c>
      <c r="O525" s="12" t="s">
        <v>1678</v>
      </c>
      <c r="P525" s="12"/>
      <c r="Q525" s="12"/>
      <c r="R525" s="12"/>
      <c r="S525" s="12"/>
      <c r="T525" s="12" t="s">
        <v>4010</v>
      </c>
    </row>
    <row r="526" spans="1:20" ht="28" x14ac:dyDescent="0.35">
      <c r="A526" s="12" t="s">
        <v>2742</v>
      </c>
      <c r="B526" s="12" t="s">
        <v>2743</v>
      </c>
      <c r="C526" s="12" t="s">
        <v>125</v>
      </c>
      <c r="D526" s="12"/>
      <c r="E526" s="12"/>
      <c r="F526" s="28" t="s">
        <v>2561</v>
      </c>
      <c r="G526" s="28" t="s">
        <v>2584</v>
      </c>
      <c r="H526" s="12"/>
      <c r="I526" s="12" t="s">
        <v>83</v>
      </c>
      <c r="J526" s="12" t="s">
        <v>84</v>
      </c>
      <c r="K526" s="12" t="s">
        <v>331</v>
      </c>
      <c r="L526" s="12" t="s">
        <v>239</v>
      </c>
      <c r="M526" s="12" t="s">
        <v>2744</v>
      </c>
      <c r="N526" s="12" t="s">
        <v>2745</v>
      </c>
      <c r="O526" s="12" t="s">
        <v>1678</v>
      </c>
      <c r="P526" s="12"/>
      <c r="Q526" s="12"/>
      <c r="R526" s="12"/>
      <c r="S526" s="12"/>
      <c r="T526" s="12" t="s">
        <v>4011</v>
      </c>
    </row>
    <row r="527" spans="1:20" ht="28" x14ac:dyDescent="0.35">
      <c r="A527" s="12" t="s">
        <v>2746</v>
      </c>
      <c r="B527" s="12" t="s">
        <v>2747</v>
      </c>
      <c r="C527" s="12" t="s">
        <v>122</v>
      </c>
      <c r="D527" s="12" t="s">
        <v>34</v>
      </c>
      <c r="E527" s="12" t="s">
        <v>2414</v>
      </c>
      <c r="F527" s="28" t="s">
        <v>216</v>
      </c>
      <c r="G527" s="28" t="s">
        <v>4760</v>
      </c>
      <c r="H527" s="12" t="s">
        <v>4761</v>
      </c>
      <c r="I527" s="12" t="s">
        <v>65</v>
      </c>
      <c r="J527" s="12" t="s">
        <v>66</v>
      </c>
      <c r="K527" s="12" t="s">
        <v>228</v>
      </c>
      <c r="L527" s="12" t="s">
        <v>198</v>
      </c>
      <c r="M527" s="12" t="s">
        <v>2748</v>
      </c>
      <c r="N527" s="12" t="s">
        <v>2749</v>
      </c>
      <c r="O527" s="12" t="s">
        <v>1678</v>
      </c>
      <c r="P527" s="12" t="s">
        <v>3325</v>
      </c>
      <c r="Q527" s="12" t="s">
        <v>4012</v>
      </c>
      <c r="R527" s="12"/>
      <c r="S527" s="12" t="s">
        <v>4782</v>
      </c>
      <c r="T527" s="12" t="s">
        <v>4013</v>
      </c>
    </row>
    <row r="528" spans="1:20" ht="56" x14ac:dyDescent="0.35">
      <c r="A528" s="12" t="s">
        <v>2750</v>
      </c>
      <c r="B528" s="12" t="s">
        <v>2751</v>
      </c>
      <c r="C528" s="12" t="s">
        <v>122</v>
      </c>
      <c r="D528" s="12" t="s">
        <v>34</v>
      </c>
      <c r="E528" s="12"/>
      <c r="F528" s="28" t="s">
        <v>216</v>
      </c>
      <c r="G528" s="28" t="s">
        <v>4729</v>
      </c>
      <c r="H528" s="12" t="s">
        <v>4730</v>
      </c>
      <c r="I528" s="12" t="s">
        <v>65</v>
      </c>
      <c r="J528" s="12" t="s">
        <v>66</v>
      </c>
      <c r="K528" s="12" t="s">
        <v>331</v>
      </c>
      <c r="L528" s="12" t="s">
        <v>239</v>
      </c>
      <c r="M528" s="12" t="s">
        <v>2752</v>
      </c>
      <c r="N528" s="12" t="s">
        <v>2753</v>
      </c>
      <c r="O528" s="12" t="s">
        <v>1753</v>
      </c>
      <c r="P528" s="12"/>
      <c r="Q528" s="12"/>
      <c r="R528" s="12"/>
      <c r="S528" s="12" t="s">
        <v>4783</v>
      </c>
      <c r="T528" s="12" t="s">
        <v>4014</v>
      </c>
    </row>
    <row r="529" spans="1:20" ht="28" x14ac:dyDescent="0.35">
      <c r="A529" s="12" t="s">
        <v>2754</v>
      </c>
      <c r="B529" s="12" t="s">
        <v>2755</v>
      </c>
      <c r="C529" s="12" t="s">
        <v>125</v>
      </c>
      <c r="D529" s="12"/>
      <c r="E529" s="12"/>
      <c r="F529" s="28" t="s">
        <v>2561</v>
      </c>
      <c r="G529" s="28" t="s">
        <v>2562</v>
      </c>
      <c r="H529" s="12"/>
      <c r="I529" s="12" t="s">
        <v>65</v>
      </c>
      <c r="J529" s="12" t="s">
        <v>66</v>
      </c>
      <c r="K529" s="12" t="s">
        <v>228</v>
      </c>
      <c r="L529" s="12" t="s">
        <v>198</v>
      </c>
      <c r="M529" s="12" t="s">
        <v>2756</v>
      </c>
      <c r="N529" s="12" t="s">
        <v>2757</v>
      </c>
      <c r="O529" s="12" t="s">
        <v>1760</v>
      </c>
      <c r="P529" s="12"/>
      <c r="Q529" s="12"/>
      <c r="R529" s="12"/>
      <c r="S529" s="12"/>
      <c r="T529" s="12" t="s">
        <v>4015</v>
      </c>
    </row>
    <row r="530" spans="1:20" ht="28" x14ac:dyDescent="0.35">
      <c r="A530" s="12" t="s">
        <v>2758</v>
      </c>
      <c r="B530" s="12" t="s">
        <v>1814</v>
      </c>
      <c r="C530" s="12" t="s">
        <v>125</v>
      </c>
      <c r="D530" s="12"/>
      <c r="E530" s="12"/>
      <c r="F530" s="28" t="s">
        <v>2561</v>
      </c>
      <c r="G530" s="28" t="s">
        <v>2562</v>
      </c>
      <c r="H530" s="12"/>
      <c r="I530" s="12" t="s">
        <v>65</v>
      </c>
      <c r="J530" s="12" t="s">
        <v>66</v>
      </c>
      <c r="K530" s="12" t="s">
        <v>228</v>
      </c>
      <c r="L530" s="12" t="s">
        <v>198</v>
      </c>
      <c r="M530" s="12" t="s">
        <v>2759</v>
      </c>
      <c r="N530" s="12" t="s">
        <v>2760</v>
      </c>
      <c r="O530" s="12" t="s">
        <v>1760</v>
      </c>
      <c r="P530" s="12"/>
      <c r="Q530" s="12"/>
      <c r="R530" s="12"/>
      <c r="S530" s="12"/>
      <c r="T530" s="12" t="s">
        <v>4016</v>
      </c>
    </row>
    <row r="531" spans="1:20" ht="56" x14ac:dyDescent="0.35">
      <c r="A531" s="12" t="s">
        <v>2761</v>
      </c>
      <c r="B531" s="12" t="s">
        <v>2762</v>
      </c>
      <c r="C531" s="12" t="s">
        <v>128</v>
      </c>
      <c r="D531" s="12"/>
      <c r="E531" s="12"/>
      <c r="F531" s="28" t="s">
        <v>4722</v>
      </c>
      <c r="G531" s="28" t="s">
        <v>4762</v>
      </c>
      <c r="H531" s="12" t="s">
        <v>4763</v>
      </c>
      <c r="I531" s="12" t="s">
        <v>55</v>
      </c>
      <c r="J531" s="12" t="s">
        <v>56</v>
      </c>
      <c r="K531" s="12" t="s">
        <v>308</v>
      </c>
      <c r="L531" s="12" t="s">
        <v>259</v>
      </c>
      <c r="M531" s="12" t="s">
        <v>2763</v>
      </c>
      <c r="N531" s="12" t="s">
        <v>2764</v>
      </c>
      <c r="O531" s="12" t="s">
        <v>1760</v>
      </c>
      <c r="P531" s="12"/>
      <c r="Q531" s="12"/>
      <c r="R531" s="12"/>
      <c r="S531" s="12"/>
      <c r="T531" s="12" t="s">
        <v>3988</v>
      </c>
    </row>
    <row r="532" spans="1:20" ht="28" x14ac:dyDescent="0.35">
      <c r="A532" s="12" t="s">
        <v>2765</v>
      </c>
      <c r="B532" s="12" t="s">
        <v>2766</v>
      </c>
      <c r="C532" s="12" t="s">
        <v>125</v>
      </c>
      <c r="D532" s="12"/>
      <c r="E532" s="12"/>
      <c r="F532" s="28" t="s">
        <v>2561</v>
      </c>
      <c r="G532" s="28" t="s">
        <v>2567</v>
      </c>
      <c r="H532" s="12"/>
      <c r="I532" s="12" t="s">
        <v>55</v>
      </c>
      <c r="J532" s="12" t="s">
        <v>56</v>
      </c>
      <c r="K532" s="12" t="s">
        <v>331</v>
      </c>
      <c r="L532" s="12" t="s">
        <v>239</v>
      </c>
      <c r="M532" s="12" t="s">
        <v>1798</v>
      </c>
      <c r="N532" s="12" t="s">
        <v>2767</v>
      </c>
      <c r="O532" s="12" t="s">
        <v>1800</v>
      </c>
      <c r="P532" s="12"/>
      <c r="Q532" s="12"/>
      <c r="R532" s="12"/>
      <c r="S532" s="12"/>
      <c r="T532" s="12" t="s">
        <v>4017</v>
      </c>
    </row>
    <row r="533" spans="1:20" ht="28" x14ac:dyDescent="0.35">
      <c r="A533" s="12" t="s">
        <v>2768</v>
      </c>
      <c r="B533" s="12" t="s">
        <v>2769</v>
      </c>
      <c r="C533" s="12" t="s">
        <v>125</v>
      </c>
      <c r="D533" s="12"/>
      <c r="E533" s="12"/>
      <c r="F533" s="28" t="s">
        <v>2561</v>
      </c>
      <c r="G533" s="28" t="s">
        <v>2770</v>
      </c>
      <c r="H533" s="12"/>
      <c r="I533" s="12" t="s">
        <v>73</v>
      </c>
      <c r="J533" s="12" t="s">
        <v>74</v>
      </c>
      <c r="K533" s="12" t="s">
        <v>228</v>
      </c>
      <c r="L533" s="12" t="s">
        <v>198</v>
      </c>
      <c r="M533" s="12" t="s">
        <v>1798</v>
      </c>
      <c r="N533" s="12" t="s">
        <v>2767</v>
      </c>
      <c r="O533" s="12" t="s">
        <v>1800</v>
      </c>
      <c r="P533" s="12"/>
      <c r="Q533" s="12"/>
      <c r="R533" s="12"/>
      <c r="S533" s="12"/>
      <c r="T533" s="12" t="s">
        <v>4018</v>
      </c>
    </row>
    <row r="534" spans="1:20" ht="28" x14ac:dyDescent="0.35">
      <c r="A534" s="12" t="s">
        <v>2771</v>
      </c>
      <c r="B534" s="12" t="s">
        <v>2772</v>
      </c>
      <c r="C534" s="12" t="s">
        <v>125</v>
      </c>
      <c r="D534" s="12"/>
      <c r="E534" s="12"/>
      <c r="F534" s="28" t="s">
        <v>2561</v>
      </c>
      <c r="G534" s="28" t="s">
        <v>2567</v>
      </c>
      <c r="H534" s="12"/>
      <c r="I534" s="12" t="s">
        <v>55</v>
      </c>
      <c r="J534" s="12" t="s">
        <v>56</v>
      </c>
      <c r="K534" s="12" t="s">
        <v>308</v>
      </c>
      <c r="L534" s="12" t="s">
        <v>259</v>
      </c>
      <c r="M534" s="12" t="s">
        <v>1798</v>
      </c>
      <c r="N534" s="12" t="s">
        <v>1810</v>
      </c>
      <c r="O534" s="12" t="s">
        <v>1800</v>
      </c>
      <c r="P534" s="12"/>
      <c r="Q534" s="12"/>
      <c r="R534" s="12"/>
      <c r="S534" s="12"/>
      <c r="T534" s="12" t="s">
        <v>4019</v>
      </c>
    </row>
    <row r="535" spans="1:20" ht="28" x14ac:dyDescent="0.35">
      <c r="A535" s="12" t="s">
        <v>2773</v>
      </c>
      <c r="B535" s="12" t="s">
        <v>2774</v>
      </c>
      <c r="C535" s="12" t="s">
        <v>125</v>
      </c>
      <c r="D535" s="12"/>
      <c r="E535" s="12"/>
      <c r="F535" s="28" t="s">
        <v>209</v>
      </c>
      <c r="G535" s="28" t="s">
        <v>2775</v>
      </c>
      <c r="H535" s="12" t="s">
        <v>2776</v>
      </c>
      <c r="I535" s="12" t="s">
        <v>79</v>
      </c>
      <c r="J535" s="12" t="s">
        <v>80</v>
      </c>
      <c r="K535" s="12" t="s">
        <v>308</v>
      </c>
      <c r="L535" s="12" t="s">
        <v>259</v>
      </c>
      <c r="M535" s="12" t="s">
        <v>1892</v>
      </c>
      <c r="N535" s="12" t="s">
        <v>1893</v>
      </c>
      <c r="O535" s="12" t="s">
        <v>1888</v>
      </c>
      <c r="P535" s="12"/>
      <c r="Q535" s="12"/>
      <c r="R535" s="12"/>
      <c r="S535" s="12"/>
      <c r="T535" s="12" t="s">
        <v>4020</v>
      </c>
    </row>
    <row r="536" spans="1:20" ht="28" x14ac:dyDescent="0.35">
      <c r="A536" s="12" t="s">
        <v>2777</v>
      </c>
      <c r="B536" s="12" t="s">
        <v>2778</v>
      </c>
      <c r="C536" s="12" t="s">
        <v>125</v>
      </c>
      <c r="D536" s="12"/>
      <c r="E536" s="12"/>
      <c r="F536" s="28" t="s">
        <v>2561</v>
      </c>
      <c r="G536" s="28" t="s">
        <v>2567</v>
      </c>
      <c r="H536" s="12"/>
      <c r="I536" s="12" t="s">
        <v>55</v>
      </c>
      <c r="J536" s="12" t="s">
        <v>56</v>
      </c>
      <c r="K536" s="12" t="s">
        <v>228</v>
      </c>
      <c r="L536" s="12" t="s">
        <v>198</v>
      </c>
      <c r="M536" s="12" t="s">
        <v>2779</v>
      </c>
      <c r="N536" s="12" t="s">
        <v>2780</v>
      </c>
      <c r="O536" s="12" t="s">
        <v>1888</v>
      </c>
      <c r="P536" s="12"/>
      <c r="Q536" s="12"/>
      <c r="R536" s="12"/>
      <c r="S536" s="12"/>
      <c r="T536" s="12" t="s">
        <v>4021</v>
      </c>
    </row>
    <row r="537" spans="1:20" ht="28" x14ac:dyDescent="0.35">
      <c r="A537" s="12" t="s">
        <v>2781</v>
      </c>
      <c r="B537" s="12" t="s">
        <v>2782</v>
      </c>
      <c r="C537" s="12" t="s">
        <v>125</v>
      </c>
      <c r="D537" s="12"/>
      <c r="E537" s="12"/>
      <c r="F537" s="28" t="s">
        <v>2561</v>
      </c>
      <c r="G537" s="28" t="s">
        <v>2562</v>
      </c>
      <c r="H537" s="12"/>
      <c r="I537" s="12" t="s">
        <v>65</v>
      </c>
      <c r="J537" s="12" t="s">
        <v>66</v>
      </c>
      <c r="K537" s="12" t="s">
        <v>228</v>
      </c>
      <c r="L537" s="12" t="s">
        <v>198</v>
      </c>
      <c r="M537" s="12" t="s">
        <v>1938</v>
      </c>
      <c r="N537" s="12" t="s">
        <v>1939</v>
      </c>
      <c r="O537" s="12" t="s">
        <v>1935</v>
      </c>
      <c r="P537" s="12"/>
      <c r="Q537" s="12"/>
      <c r="R537" s="12"/>
      <c r="S537" s="12"/>
      <c r="T537" s="12" t="s">
        <v>4022</v>
      </c>
    </row>
    <row r="538" spans="1:20" ht="112" x14ac:dyDescent="0.35">
      <c r="A538" s="12" t="s">
        <v>2783</v>
      </c>
      <c r="B538" s="12" t="s">
        <v>2784</v>
      </c>
      <c r="C538" s="12" t="s">
        <v>122</v>
      </c>
      <c r="D538" s="12" t="s">
        <v>38</v>
      </c>
      <c r="E538" s="12"/>
      <c r="F538" s="28" t="s">
        <v>216</v>
      </c>
      <c r="G538" s="28" t="s">
        <v>4731</v>
      </c>
      <c r="H538" s="12" t="s">
        <v>4732</v>
      </c>
      <c r="I538" s="12" t="s">
        <v>53</v>
      </c>
      <c r="J538" s="12" t="s">
        <v>54</v>
      </c>
      <c r="K538" s="12" t="s">
        <v>308</v>
      </c>
      <c r="L538" s="12" t="s">
        <v>259</v>
      </c>
      <c r="M538" s="12" t="s">
        <v>1962</v>
      </c>
      <c r="N538" s="12" t="s">
        <v>1963</v>
      </c>
      <c r="O538" s="12" t="s">
        <v>1935</v>
      </c>
      <c r="P538" s="12"/>
      <c r="Q538" s="12"/>
      <c r="R538" s="12"/>
      <c r="S538" s="12" t="s">
        <v>4784</v>
      </c>
      <c r="T538" s="12" t="s">
        <v>4023</v>
      </c>
    </row>
    <row r="539" spans="1:20" ht="28" x14ac:dyDescent="0.35">
      <c r="A539" s="12" t="s">
        <v>2785</v>
      </c>
      <c r="B539" s="12" t="s">
        <v>2786</v>
      </c>
      <c r="C539" s="12" t="s">
        <v>122</v>
      </c>
      <c r="D539" s="12" t="s">
        <v>33</v>
      </c>
      <c r="E539" s="12"/>
      <c r="F539" s="28" t="s">
        <v>216</v>
      </c>
      <c r="G539" s="28" t="s">
        <v>4733</v>
      </c>
      <c r="H539" s="12" t="s">
        <v>4734</v>
      </c>
      <c r="I539" s="12" t="s">
        <v>55</v>
      </c>
      <c r="J539" s="12" t="s">
        <v>56</v>
      </c>
      <c r="K539" s="12" t="s">
        <v>228</v>
      </c>
      <c r="L539" s="12" t="s">
        <v>198</v>
      </c>
      <c r="M539" s="12" t="s">
        <v>2787</v>
      </c>
      <c r="N539" s="12" t="s">
        <v>2788</v>
      </c>
      <c r="O539" s="12" t="s">
        <v>2021</v>
      </c>
      <c r="P539" s="12"/>
      <c r="Q539" s="12"/>
      <c r="R539" s="12"/>
      <c r="S539" s="12" t="s">
        <v>4785</v>
      </c>
      <c r="T539" s="12" t="s">
        <v>4024</v>
      </c>
    </row>
    <row r="540" spans="1:20" ht="28" x14ac:dyDescent="0.35">
      <c r="A540" s="12" t="s">
        <v>2789</v>
      </c>
      <c r="B540" s="12" t="s">
        <v>2790</v>
      </c>
      <c r="C540" s="12" t="s">
        <v>122</v>
      </c>
      <c r="D540" s="12" t="s">
        <v>33</v>
      </c>
      <c r="E540" s="12"/>
      <c r="F540" s="28" t="s">
        <v>216</v>
      </c>
      <c r="G540" s="28" t="s">
        <v>4735</v>
      </c>
      <c r="H540" s="12" t="s">
        <v>4736</v>
      </c>
      <c r="I540" s="12" t="s">
        <v>55</v>
      </c>
      <c r="J540" s="12" t="s">
        <v>56</v>
      </c>
      <c r="K540" s="12" t="s">
        <v>308</v>
      </c>
      <c r="L540" s="12" t="s">
        <v>259</v>
      </c>
      <c r="M540" s="12" t="s">
        <v>2791</v>
      </c>
      <c r="N540" s="12" t="s">
        <v>2090</v>
      </c>
      <c r="O540" s="12" t="s">
        <v>2072</v>
      </c>
      <c r="P540" s="12"/>
      <c r="Q540" s="12"/>
      <c r="R540" s="12"/>
      <c r="S540" s="12" t="s">
        <v>4786</v>
      </c>
      <c r="T540" s="12" t="s">
        <v>4025</v>
      </c>
    </row>
    <row r="541" spans="1:20" ht="28" x14ac:dyDescent="0.35">
      <c r="A541" s="12" t="s">
        <v>2792</v>
      </c>
      <c r="B541" s="12" t="s">
        <v>2793</v>
      </c>
      <c r="C541" s="12" t="s">
        <v>125</v>
      </c>
      <c r="D541" s="12"/>
      <c r="E541" s="12"/>
      <c r="F541" s="28" t="s">
        <v>2561</v>
      </c>
      <c r="G541" s="28" t="s">
        <v>2796</v>
      </c>
      <c r="H541" s="12"/>
      <c r="I541" s="12" t="s">
        <v>61</v>
      </c>
      <c r="J541" s="12" t="s">
        <v>62</v>
      </c>
      <c r="K541" s="12" t="s">
        <v>308</v>
      </c>
      <c r="L541" s="12" t="s">
        <v>259</v>
      </c>
      <c r="M541" s="12" t="s">
        <v>2794</v>
      </c>
      <c r="N541" s="12" t="s">
        <v>2795</v>
      </c>
      <c r="O541" s="12" t="s">
        <v>2072</v>
      </c>
      <c r="P541" s="12"/>
      <c r="Q541" s="12"/>
      <c r="R541" s="12"/>
      <c r="S541" s="12"/>
      <c r="T541" s="12" t="s">
        <v>4026</v>
      </c>
    </row>
    <row r="542" spans="1:20" ht="28" x14ac:dyDescent="0.35">
      <c r="A542" s="12" t="s">
        <v>2797</v>
      </c>
      <c r="B542" s="12" t="s">
        <v>2798</v>
      </c>
      <c r="C542" s="12" t="s">
        <v>125</v>
      </c>
      <c r="D542" s="12"/>
      <c r="E542" s="12"/>
      <c r="F542" s="28" t="s">
        <v>2561</v>
      </c>
      <c r="G542" s="28" t="s">
        <v>2630</v>
      </c>
      <c r="H542" s="12"/>
      <c r="I542" s="12" t="s">
        <v>63</v>
      </c>
      <c r="J542" s="12" t="s">
        <v>64</v>
      </c>
      <c r="K542" s="12" t="s">
        <v>331</v>
      </c>
      <c r="L542" s="12" t="s">
        <v>239</v>
      </c>
      <c r="M542" s="12" t="s">
        <v>2129</v>
      </c>
      <c r="N542" s="12" t="s">
        <v>2130</v>
      </c>
      <c r="O542" s="12" t="s">
        <v>2131</v>
      </c>
      <c r="P542" s="12"/>
      <c r="Q542" s="12"/>
      <c r="R542" s="12"/>
      <c r="S542" s="12"/>
      <c r="T542" s="12" t="s">
        <v>3909</v>
      </c>
    </row>
    <row r="543" spans="1:20" ht="28" x14ac:dyDescent="0.35">
      <c r="A543" s="12" t="s">
        <v>2799</v>
      </c>
      <c r="B543" s="12" t="s">
        <v>2800</v>
      </c>
      <c r="C543" s="12" t="s">
        <v>125</v>
      </c>
      <c r="D543" s="12"/>
      <c r="E543" s="12"/>
      <c r="F543" s="28" t="s">
        <v>209</v>
      </c>
      <c r="G543" s="28" t="s">
        <v>2801</v>
      </c>
      <c r="H543" s="12" t="s">
        <v>2802</v>
      </c>
      <c r="I543" s="12" t="s">
        <v>73</v>
      </c>
      <c r="J543" s="12" t="s">
        <v>74</v>
      </c>
      <c r="K543" s="12" t="s">
        <v>308</v>
      </c>
      <c r="L543" s="12" t="s">
        <v>259</v>
      </c>
      <c r="M543" s="12" t="s">
        <v>2141</v>
      </c>
      <c r="N543" s="12" t="s">
        <v>2142</v>
      </c>
      <c r="O543" s="12" t="s">
        <v>2131</v>
      </c>
      <c r="P543" s="12"/>
      <c r="Q543" s="12"/>
      <c r="R543" s="12"/>
      <c r="S543" s="12" t="s">
        <v>4027</v>
      </c>
      <c r="T543" s="12" t="s">
        <v>4028</v>
      </c>
    </row>
    <row r="544" spans="1:20" x14ac:dyDescent="0.35">
      <c r="A544" s="12" t="s">
        <v>2803</v>
      </c>
      <c r="B544" s="12" t="s">
        <v>2804</v>
      </c>
      <c r="C544" s="12" t="s">
        <v>125</v>
      </c>
      <c r="D544" s="12"/>
      <c r="E544" s="12"/>
      <c r="F544" s="28" t="s">
        <v>209</v>
      </c>
      <c r="G544" s="28" t="s">
        <v>2663</v>
      </c>
      <c r="H544" s="12" t="s">
        <v>2807</v>
      </c>
      <c r="I544" s="12" t="s">
        <v>55</v>
      </c>
      <c r="J544" s="12" t="s">
        <v>56</v>
      </c>
      <c r="K544" s="12" t="s">
        <v>228</v>
      </c>
      <c r="L544" s="12" t="s">
        <v>198</v>
      </c>
      <c r="M544" s="12" t="s">
        <v>2805</v>
      </c>
      <c r="N544" s="12" t="s">
        <v>2806</v>
      </c>
      <c r="O544" s="12" t="s">
        <v>2131</v>
      </c>
      <c r="P544" s="12"/>
      <c r="Q544" s="12"/>
      <c r="R544" s="12"/>
      <c r="S544" s="12"/>
      <c r="T544" s="12" t="s">
        <v>4029</v>
      </c>
    </row>
    <row r="545" spans="1:20" ht="28" x14ac:dyDescent="0.35">
      <c r="A545" s="12" t="s">
        <v>2808</v>
      </c>
      <c r="B545" s="12" t="s">
        <v>2809</v>
      </c>
      <c r="C545" s="12" t="s">
        <v>125</v>
      </c>
      <c r="D545" s="12"/>
      <c r="E545" s="12"/>
      <c r="F545" s="28" t="s">
        <v>2561</v>
      </c>
      <c r="G545" s="28" t="s">
        <v>2770</v>
      </c>
      <c r="H545" s="12"/>
      <c r="I545" s="12" t="s">
        <v>73</v>
      </c>
      <c r="J545" s="12" t="s">
        <v>74</v>
      </c>
      <c r="K545" s="12" t="s">
        <v>228</v>
      </c>
      <c r="L545" s="12" t="s">
        <v>198</v>
      </c>
      <c r="M545" s="12" t="s">
        <v>2810</v>
      </c>
      <c r="N545" s="12" t="s">
        <v>2811</v>
      </c>
      <c r="O545" s="12" t="s">
        <v>2131</v>
      </c>
      <c r="P545" s="12"/>
      <c r="Q545" s="12"/>
      <c r="R545" s="12"/>
      <c r="S545" s="12"/>
      <c r="T545" s="12" t="s">
        <v>3778</v>
      </c>
    </row>
    <row r="546" spans="1:20" x14ac:dyDescent="0.35">
      <c r="A546" s="12" t="s">
        <v>2812</v>
      </c>
      <c r="B546" s="12" t="s">
        <v>2813</v>
      </c>
      <c r="C546" s="12" t="s">
        <v>125</v>
      </c>
      <c r="D546" s="12"/>
      <c r="E546" s="12"/>
      <c r="F546" s="28" t="s">
        <v>209</v>
      </c>
      <c r="G546" s="28" t="s">
        <v>2814</v>
      </c>
      <c r="H546" s="12" t="s">
        <v>2815</v>
      </c>
      <c r="I546" s="12" t="s">
        <v>69</v>
      </c>
      <c r="J546" s="12" t="s">
        <v>70</v>
      </c>
      <c r="K546" s="12" t="s">
        <v>228</v>
      </c>
      <c r="L546" s="12" t="s">
        <v>198</v>
      </c>
      <c r="M546" s="12" t="s">
        <v>2173</v>
      </c>
      <c r="N546" s="12" t="s">
        <v>2174</v>
      </c>
      <c r="O546" s="12" t="s">
        <v>2131</v>
      </c>
      <c r="P546" s="12"/>
      <c r="Q546" s="12"/>
      <c r="R546" s="12"/>
      <c r="S546" s="12"/>
      <c r="T546" s="12" t="s">
        <v>4030</v>
      </c>
    </row>
    <row r="547" spans="1:20" ht="28" x14ac:dyDescent="0.35">
      <c r="A547" s="12" t="s">
        <v>2816</v>
      </c>
      <c r="B547" s="12" t="s">
        <v>2817</v>
      </c>
      <c r="C547" s="12" t="s">
        <v>125</v>
      </c>
      <c r="D547" s="12"/>
      <c r="E547" s="12"/>
      <c r="F547" s="28" t="s">
        <v>209</v>
      </c>
      <c r="G547" s="28" t="s">
        <v>2820</v>
      </c>
      <c r="H547" s="12" t="s">
        <v>2821</v>
      </c>
      <c r="I547" s="12" t="s">
        <v>73</v>
      </c>
      <c r="J547" s="12" t="s">
        <v>74</v>
      </c>
      <c r="K547" s="12" t="s">
        <v>308</v>
      </c>
      <c r="L547" s="12" t="s">
        <v>259</v>
      </c>
      <c r="M547" s="12" t="s">
        <v>2818</v>
      </c>
      <c r="N547" s="12" t="s">
        <v>2819</v>
      </c>
      <c r="O547" s="12" t="s">
        <v>2198</v>
      </c>
      <c r="P547" s="12"/>
      <c r="Q547" s="12"/>
      <c r="R547" s="12"/>
      <c r="S547" s="12"/>
      <c r="T547" s="12" t="s">
        <v>4031</v>
      </c>
    </row>
    <row r="548" spans="1:20" ht="28" x14ac:dyDescent="0.35">
      <c r="A548" s="12" t="s">
        <v>2822</v>
      </c>
      <c r="B548" s="12" t="s">
        <v>2823</v>
      </c>
      <c r="C548" s="12" t="s">
        <v>125</v>
      </c>
      <c r="D548" s="12"/>
      <c r="E548" s="12"/>
      <c r="F548" s="28" t="s">
        <v>209</v>
      </c>
      <c r="G548" s="28" t="s">
        <v>2824</v>
      </c>
      <c r="H548" s="12" t="s">
        <v>2825</v>
      </c>
      <c r="I548" s="12" t="s">
        <v>73</v>
      </c>
      <c r="J548" s="12" t="s">
        <v>74</v>
      </c>
      <c r="K548" s="12" t="s">
        <v>228</v>
      </c>
      <c r="L548" s="12" t="s">
        <v>198</v>
      </c>
      <c r="M548" s="12" t="s">
        <v>2202</v>
      </c>
      <c r="N548" s="12" t="s">
        <v>2203</v>
      </c>
      <c r="O548" s="12" t="s">
        <v>2198</v>
      </c>
      <c r="P548" s="12"/>
      <c r="Q548" s="12"/>
      <c r="R548" s="12"/>
      <c r="S548" s="12"/>
      <c r="T548" s="12" t="s">
        <v>4032</v>
      </c>
    </row>
    <row r="549" spans="1:20" ht="28" x14ac:dyDescent="0.35">
      <c r="A549" s="12" t="s">
        <v>2826</v>
      </c>
      <c r="B549" s="12" t="s">
        <v>2827</v>
      </c>
      <c r="C549" s="12" t="s">
        <v>125</v>
      </c>
      <c r="D549" s="12"/>
      <c r="E549" s="12"/>
      <c r="F549" s="28" t="s">
        <v>2561</v>
      </c>
      <c r="G549" s="28" t="s">
        <v>2567</v>
      </c>
      <c r="H549" s="12"/>
      <c r="I549" s="12" t="s">
        <v>55</v>
      </c>
      <c r="J549" s="12" t="s">
        <v>56</v>
      </c>
      <c r="K549" s="12" t="s">
        <v>308</v>
      </c>
      <c r="L549" s="12" t="s">
        <v>259</v>
      </c>
      <c r="M549" s="12" t="s">
        <v>2828</v>
      </c>
      <c r="N549" s="12" t="s">
        <v>2829</v>
      </c>
      <c r="O549" s="12" t="s">
        <v>2224</v>
      </c>
      <c r="P549" s="12"/>
      <c r="Q549" s="12"/>
      <c r="R549" s="12"/>
      <c r="S549" s="12"/>
      <c r="T549" s="12" t="s">
        <v>4033</v>
      </c>
    </row>
    <row r="550" spans="1:20" ht="28" x14ac:dyDescent="0.35">
      <c r="A550" s="12" t="s">
        <v>2830</v>
      </c>
      <c r="B550" s="12" t="s">
        <v>2295</v>
      </c>
      <c r="C550" s="12" t="s">
        <v>125</v>
      </c>
      <c r="D550" s="12"/>
      <c r="E550" s="12"/>
      <c r="F550" s="28" t="s">
        <v>2561</v>
      </c>
      <c r="G550" s="28" t="s">
        <v>2567</v>
      </c>
      <c r="H550" s="12"/>
      <c r="I550" s="12" t="s">
        <v>55</v>
      </c>
      <c r="J550" s="12" t="s">
        <v>56</v>
      </c>
      <c r="K550" s="12" t="s">
        <v>228</v>
      </c>
      <c r="L550" s="12" t="s">
        <v>198</v>
      </c>
      <c r="M550" s="12" t="s">
        <v>2296</v>
      </c>
      <c r="N550" s="12" t="s">
        <v>2297</v>
      </c>
      <c r="O550" s="12" t="s">
        <v>2224</v>
      </c>
      <c r="P550" s="12"/>
      <c r="Q550" s="12"/>
      <c r="R550" s="12"/>
      <c r="S550" s="12"/>
      <c r="T550" s="12" t="s">
        <v>4034</v>
      </c>
    </row>
    <row r="551" spans="1:20" ht="28" x14ac:dyDescent="0.35">
      <c r="A551" s="12" t="s">
        <v>2831</v>
      </c>
      <c r="B551" s="12" t="s">
        <v>2832</v>
      </c>
      <c r="C551" s="12" t="s">
        <v>125</v>
      </c>
      <c r="D551" s="12"/>
      <c r="E551" s="12"/>
      <c r="F551" s="28" t="s">
        <v>2561</v>
      </c>
      <c r="G551" s="28" t="s">
        <v>2630</v>
      </c>
      <c r="H551" s="12"/>
      <c r="I551" s="12" t="s">
        <v>63</v>
      </c>
      <c r="J551" s="12" t="s">
        <v>64</v>
      </c>
      <c r="K551" s="12" t="s">
        <v>308</v>
      </c>
      <c r="L551" s="12" t="s">
        <v>259</v>
      </c>
      <c r="M551" s="12" t="s">
        <v>2833</v>
      </c>
      <c r="N551" s="12" t="s">
        <v>2834</v>
      </c>
      <c r="O551" s="12" t="s">
        <v>2224</v>
      </c>
      <c r="P551" s="12"/>
      <c r="Q551" s="12"/>
      <c r="R551" s="12" t="s">
        <v>3414</v>
      </c>
      <c r="S551" s="12"/>
      <c r="T551" s="12" t="s">
        <v>4035</v>
      </c>
    </row>
    <row r="552" spans="1:20" x14ac:dyDescent="0.35">
      <c r="A552" s="12" t="s">
        <v>2835</v>
      </c>
      <c r="B552" s="12" t="s">
        <v>2836</v>
      </c>
      <c r="C552" s="12" t="s">
        <v>125</v>
      </c>
      <c r="D552" s="12"/>
      <c r="E552" s="12"/>
      <c r="F552" s="28" t="s">
        <v>209</v>
      </c>
      <c r="G552" s="28" t="s">
        <v>2837</v>
      </c>
      <c r="H552" s="12" t="s">
        <v>2838</v>
      </c>
      <c r="I552" s="12" t="s">
        <v>55</v>
      </c>
      <c r="J552" s="12" t="s">
        <v>56</v>
      </c>
      <c r="K552" s="12" t="s">
        <v>308</v>
      </c>
      <c r="L552" s="12" t="s">
        <v>259</v>
      </c>
      <c r="M552" s="12" t="s">
        <v>2296</v>
      </c>
      <c r="N552" s="12" t="s">
        <v>2297</v>
      </c>
      <c r="O552" s="12" t="s">
        <v>2224</v>
      </c>
      <c r="P552" s="12"/>
      <c r="Q552" s="12"/>
      <c r="R552" s="12"/>
      <c r="S552" s="12"/>
      <c r="T552" s="12" t="s">
        <v>4036</v>
      </c>
    </row>
    <row r="553" spans="1:20" ht="56" x14ac:dyDescent="0.35">
      <c r="A553" s="12" t="s">
        <v>2839</v>
      </c>
      <c r="B553" s="12" t="s">
        <v>2840</v>
      </c>
      <c r="C553" s="12" t="s">
        <v>122</v>
      </c>
      <c r="D553" s="12" t="s">
        <v>33</v>
      </c>
      <c r="E553" s="12"/>
      <c r="F553" s="28" t="s">
        <v>216</v>
      </c>
      <c r="G553" s="28" t="s">
        <v>4737</v>
      </c>
      <c r="H553" s="12" t="s">
        <v>4738</v>
      </c>
      <c r="I553" s="12" t="s">
        <v>55</v>
      </c>
      <c r="J553" s="12" t="s">
        <v>56</v>
      </c>
      <c r="K553" s="12" t="s">
        <v>331</v>
      </c>
      <c r="L553" s="12" t="s">
        <v>239</v>
      </c>
      <c r="M553" s="12" t="s">
        <v>2841</v>
      </c>
      <c r="N553" s="12" t="s">
        <v>2842</v>
      </c>
      <c r="O553" s="12" t="s">
        <v>2317</v>
      </c>
      <c r="P553" s="12"/>
      <c r="Q553" s="12"/>
      <c r="R553" s="12"/>
      <c r="S553" s="12" t="s">
        <v>4787</v>
      </c>
      <c r="T553" s="12" t="s">
        <v>4037</v>
      </c>
    </row>
    <row r="554" spans="1:20" ht="42" x14ac:dyDescent="0.35">
      <c r="A554" s="12" t="s">
        <v>2843</v>
      </c>
      <c r="B554" s="12" t="s">
        <v>2844</v>
      </c>
      <c r="C554" s="12" t="s">
        <v>125</v>
      </c>
      <c r="D554" s="12"/>
      <c r="E554" s="12"/>
      <c r="F554" s="28" t="s">
        <v>209</v>
      </c>
      <c r="G554" s="28" t="s">
        <v>2847</v>
      </c>
      <c r="H554" s="12" t="s">
        <v>2848</v>
      </c>
      <c r="I554" s="12" t="s">
        <v>83</v>
      </c>
      <c r="J554" s="12" t="s">
        <v>84</v>
      </c>
      <c r="K554" s="12" t="s">
        <v>228</v>
      </c>
      <c r="L554" s="12" t="s">
        <v>198</v>
      </c>
      <c r="M554" s="12" t="s">
        <v>2845</v>
      </c>
      <c r="N554" s="12" t="s">
        <v>2846</v>
      </c>
      <c r="O554" s="12" t="s">
        <v>2317</v>
      </c>
      <c r="P554" s="12"/>
      <c r="Q554" s="12"/>
      <c r="R554" s="12"/>
      <c r="S554" s="12" t="s">
        <v>4038</v>
      </c>
      <c r="T554" s="12" t="s">
        <v>3503</v>
      </c>
    </row>
    <row r="555" spans="1:20" ht="56" x14ac:dyDescent="0.35">
      <c r="A555" s="12" t="s">
        <v>2849</v>
      </c>
      <c r="B555" s="12" t="s">
        <v>2850</v>
      </c>
      <c r="C555" s="12" t="s">
        <v>122</v>
      </c>
      <c r="D555" s="12" t="s">
        <v>33</v>
      </c>
      <c r="E555" s="12" t="s">
        <v>2414</v>
      </c>
      <c r="F555" s="28" t="s">
        <v>216</v>
      </c>
      <c r="G555" s="28" t="s">
        <v>4768</v>
      </c>
      <c r="H555" s="12" t="s">
        <v>4769</v>
      </c>
      <c r="I555" s="12" t="s">
        <v>57</v>
      </c>
      <c r="J555" s="12" t="s">
        <v>58</v>
      </c>
      <c r="K555" s="12" t="s">
        <v>331</v>
      </c>
      <c r="L555" s="12" t="s">
        <v>239</v>
      </c>
      <c r="M555" s="12" t="s">
        <v>2851</v>
      </c>
      <c r="N555" s="12" t="s">
        <v>2852</v>
      </c>
      <c r="O555" s="12" t="s">
        <v>2317</v>
      </c>
      <c r="P555" s="12" t="s">
        <v>3325</v>
      </c>
      <c r="Q555" s="12" t="s">
        <v>4039</v>
      </c>
      <c r="R555" s="12"/>
      <c r="S555" s="12" t="s">
        <v>4788</v>
      </c>
      <c r="T555" s="12" t="s">
        <v>3699</v>
      </c>
    </row>
    <row r="556" spans="1:20" ht="28" x14ac:dyDescent="0.35">
      <c r="A556" s="12" t="s">
        <v>2853</v>
      </c>
      <c r="B556" s="12" t="s">
        <v>2854</v>
      </c>
      <c r="C556" s="12" t="s">
        <v>125</v>
      </c>
      <c r="D556" s="12"/>
      <c r="E556" s="12"/>
      <c r="F556" s="28" t="s">
        <v>209</v>
      </c>
      <c r="G556" s="28" t="s">
        <v>2857</v>
      </c>
      <c r="H556" s="12" t="s">
        <v>2858</v>
      </c>
      <c r="I556" s="12" t="s">
        <v>53</v>
      </c>
      <c r="J556" s="12" t="s">
        <v>54</v>
      </c>
      <c r="K556" s="12" t="s">
        <v>308</v>
      </c>
      <c r="L556" s="12" t="s">
        <v>259</v>
      </c>
      <c r="M556" s="12" t="s">
        <v>2855</v>
      </c>
      <c r="N556" s="12" t="s">
        <v>2856</v>
      </c>
      <c r="O556" s="12" t="s">
        <v>2317</v>
      </c>
      <c r="P556" s="12"/>
      <c r="Q556" s="12"/>
      <c r="R556" s="12"/>
      <c r="S556" s="12" t="s">
        <v>4040</v>
      </c>
      <c r="T556" s="12" t="s">
        <v>4041</v>
      </c>
    </row>
    <row r="557" spans="1:20" ht="28" x14ac:dyDescent="0.35">
      <c r="A557" s="12" t="s">
        <v>2859</v>
      </c>
      <c r="B557" s="12" t="s">
        <v>2860</v>
      </c>
      <c r="C557" s="12" t="s">
        <v>125</v>
      </c>
      <c r="D557" s="12"/>
      <c r="E557" s="12"/>
      <c r="F557" s="28" t="s">
        <v>2561</v>
      </c>
      <c r="G557" s="28" t="s">
        <v>2861</v>
      </c>
      <c r="H557" s="12"/>
      <c r="I557" s="12" t="s">
        <v>79</v>
      </c>
      <c r="J557" s="12" t="s">
        <v>80</v>
      </c>
      <c r="K557" s="12" t="s">
        <v>228</v>
      </c>
      <c r="L557" s="12" t="s">
        <v>198</v>
      </c>
      <c r="M557" s="12" t="s">
        <v>2333</v>
      </c>
      <c r="N557" s="12" t="s">
        <v>2334</v>
      </c>
      <c r="O557" s="12" t="s">
        <v>2317</v>
      </c>
      <c r="P557" s="12"/>
      <c r="Q557" s="12"/>
      <c r="R557" s="12"/>
      <c r="S557" s="12"/>
      <c r="T557" s="12" t="s">
        <v>3438</v>
      </c>
    </row>
    <row r="558" spans="1:20" ht="28" x14ac:dyDescent="0.35">
      <c r="A558" s="12" t="s">
        <v>2862</v>
      </c>
      <c r="B558" s="12" t="s">
        <v>2863</v>
      </c>
      <c r="C558" s="12" t="s">
        <v>125</v>
      </c>
      <c r="D558" s="12"/>
      <c r="E558" s="12"/>
      <c r="F558" s="28" t="s">
        <v>2561</v>
      </c>
      <c r="G558" s="28" t="s">
        <v>2567</v>
      </c>
      <c r="H558" s="12"/>
      <c r="I558" s="12" t="s">
        <v>55</v>
      </c>
      <c r="J558" s="12" t="s">
        <v>56</v>
      </c>
      <c r="K558" s="12" t="s">
        <v>308</v>
      </c>
      <c r="L558" s="12" t="s">
        <v>259</v>
      </c>
      <c r="M558" s="12" t="s">
        <v>2864</v>
      </c>
      <c r="N558" s="12" t="s">
        <v>2865</v>
      </c>
      <c r="O558" s="12" t="s">
        <v>2317</v>
      </c>
      <c r="P558" s="12"/>
      <c r="Q558" s="12"/>
      <c r="R558" s="12"/>
      <c r="S558" s="12"/>
      <c r="T558" s="12" t="s">
        <v>4042</v>
      </c>
    </row>
    <row r="559" spans="1:20" ht="28" x14ac:dyDescent="0.35">
      <c r="A559" s="12" t="s">
        <v>2866</v>
      </c>
      <c r="B559" s="12" t="s">
        <v>2867</v>
      </c>
      <c r="C559" s="12" t="s">
        <v>125</v>
      </c>
      <c r="D559" s="12"/>
      <c r="E559" s="12"/>
      <c r="F559" s="28" t="s">
        <v>2561</v>
      </c>
      <c r="G559" s="28" t="s">
        <v>2630</v>
      </c>
      <c r="H559" s="12"/>
      <c r="I559" s="12" t="s">
        <v>63</v>
      </c>
      <c r="J559" s="12" t="s">
        <v>64</v>
      </c>
      <c r="K559" s="12" t="s">
        <v>228</v>
      </c>
      <c r="L559" s="12" t="s">
        <v>198</v>
      </c>
      <c r="M559" s="12" t="s">
        <v>2364</v>
      </c>
      <c r="N559" s="12" t="s">
        <v>2365</v>
      </c>
      <c r="O559" s="12" t="s">
        <v>2355</v>
      </c>
      <c r="P559" s="12"/>
      <c r="Q559" s="12"/>
      <c r="R559" s="12"/>
      <c r="S559" s="12"/>
      <c r="T559" s="12" t="s">
        <v>4043</v>
      </c>
    </row>
    <row r="560" spans="1:20" x14ac:dyDescent="0.35">
      <c r="A560" s="12" t="s">
        <v>2868</v>
      </c>
      <c r="B560" s="12" t="s">
        <v>2869</v>
      </c>
      <c r="C560" s="12" t="s">
        <v>125</v>
      </c>
      <c r="D560" s="12"/>
      <c r="E560" s="12" t="s">
        <v>2414</v>
      </c>
      <c r="F560" s="28" t="s">
        <v>209</v>
      </c>
      <c r="G560" s="28" t="s">
        <v>2814</v>
      </c>
      <c r="H560" s="12" t="s">
        <v>2872</v>
      </c>
      <c r="I560" s="12" t="s">
        <v>73</v>
      </c>
      <c r="J560" s="12" t="s">
        <v>74</v>
      </c>
      <c r="K560" s="12" t="s">
        <v>228</v>
      </c>
      <c r="L560" s="12" t="s">
        <v>198</v>
      </c>
      <c r="M560" s="12" t="s">
        <v>2870</v>
      </c>
      <c r="N560" s="12" t="s">
        <v>2871</v>
      </c>
      <c r="O560" s="12" t="s">
        <v>2355</v>
      </c>
      <c r="P560" s="12" t="s">
        <v>3325</v>
      </c>
      <c r="Q560" s="12" t="s">
        <v>4044</v>
      </c>
      <c r="R560" s="12"/>
      <c r="S560" s="12" t="s">
        <v>4027</v>
      </c>
      <c r="T560" s="12" t="s">
        <v>4045</v>
      </c>
    </row>
    <row r="561" spans="1:20" ht="28" x14ac:dyDescent="0.35">
      <c r="A561" s="12" t="s">
        <v>2873</v>
      </c>
      <c r="B561" s="12" t="s">
        <v>2874</v>
      </c>
      <c r="C561" s="12" t="s">
        <v>125</v>
      </c>
      <c r="D561" s="12"/>
      <c r="E561" s="12"/>
      <c r="F561" s="28" t="s">
        <v>2561</v>
      </c>
      <c r="G561" s="28" t="s">
        <v>2587</v>
      </c>
      <c r="H561" s="12"/>
      <c r="I561" s="12" t="s">
        <v>69</v>
      </c>
      <c r="J561" s="12" t="s">
        <v>70</v>
      </c>
      <c r="K561" s="12" t="s">
        <v>228</v>
      </c>
      <c r="L561" s="12" t="s">
        <v>198</v>
      </c>
      <c r="M561" s="12" t="s">
        <v>2875</v>
      </c>
      <c r="N561" s="12" t="s">
        <v>2876</v>
      </c>
      <c r="O561" s="12" t="s">
        <v>2877</v>
      </c>
      <c r="P561" s="12"/>
      <c r="Q561" s="12"/>
      <c r="R561" s="12"/>
      <c r="S561" s="12"/>
      <c r="T561" s="12" t="s">
        <v>4046</v>
      </c>
    </row>
    <row r="562" spans="1:20" ht="42" x14ac:dyDescent="0.35">
      <c r="A562" s="12" t="s">
        <v>2878</v>
      </c>
      <c r="B562" s="18" t="s">
        <v>2879</v>
      </c>
      <c r="C562" s="12" t="s">
        <v>122</v>
      </c>
      <c r="D562" s="12" t="s">
        <v>34</v>
      </c>
      <c r="E562" s="12"/>
      <c r="F562" s="28" t="s">
        <v>216</v>
      </c>
      <c r="G562" s="28" t="s">
        <v>4741</v>
      </c>
      <c r="H562" s="12" t="s">
        <v>4742</v>
      </c>
      <c r="I562" s="12" t="s">
        <v>65</v>
      </c>
      <c r="J562" s="12" t="s">
        <v>66</v>
      </c>
      <c r="K562" s="12" t="s">
        <v>228</v>
      </c>
      <c r="L562" s="12" t="s">
        <v>198</v>
      </c>
      <c r="M562" s="12" t="s">
        <v>2880</v>
      </c>
      <c r="N562" s="12" t="s">
        <v>2881</v>
      </c>
      <c r="O562" s="12" t="s">
        <v>2882</v>
      </c>
      <c r="P562" s="22" t="s">
        <v>4155</v>
      </c>
      <c r="Q562" s="24" t="s">
        <v>4163</v>
      </c>
      <c r="R562" s="18"/>
      <c r="S562" s="12" t="s">
        <v>4789</v>
      </c>
      <c r="T562" s="12" t="s">
        <v>4047</v>
      </c>
    </row>
    <row r="563" spans="1:20" ht="28" x14ac:dyDescent="0.35">
      <c r="A563" s="12" t="s">
        <v>2883</v>
      </c>
      <c r="B563" s="12" t="s">
        <v>2884</v>
      </c>
      <c r="C563" s="12" t="s">
        <v>128</v>
      </c>
      <c r="D563" s="12"/>
      <c r="E563" s="12"/>
      <c r="F563" s="28" t="s">
        <v>209</v>
      </c>
      <c r="G563" s="28" t="s">
        <v>2888</v>
      </c>
      <c r="H563" s="12" t="s">
        <v>2889</v>
      </c>
      <c r="I563" s="12" t="s">
        <v>81</v>
      </c>
      <c r="J563" s="12" t="s">
        <v>82</v>
      </c>
      <c r="K563" s="12" t="s">
        <v>228</v>
      </c>
      <c r="L563" s="12" t="s">
        <v>198</v>
      </c>
      <c r="M563" s="12" t="s">
        <v>2885</v>
      </c>
      <c r="N563" s="12" t="s">
        <v>2886</v>
      </c>
      <c r="O563" s="12" t="s">
        <v>2887</v>
      </c>
      <c r="P563" s="12" t="s">
        <v>3730</v>
      </c>
      <c r="Q563" s="12" t="s">
        <v>4048</v>
      </c>
      <c r="R563" s="12"/>
      <c r="S563" s="12"/>
      <c r="T563" s="12" t="s">
        <v>3397</v>
      </c>
    </row>
    <row r="564" spans="1:20" ht="42" x14ac:dyDescent="0.35">
      <c r="A564" s="12" t="s">
        <v>2890</v>
      </c>
      <c r="B564" s="12" t="s">
        <v>2891</v>
      </c>
      <c r="C564" s="12" t="s">
        <v>128</v>
      </c>
      <c r="D564" s="12"/>
      <c r="E564" s="12"/>
      <c r="F564" s="28" t="s">
        <v>216</v>
      </c>
      <c r="G564" s="28" t="s">
        <v>2894</v>
      </c>
      <c r="H564" s="12" t="s">
        <v>2895</v>
      </c>
      <c r="I564" s="12" t="s">
        <v>57</v>
      </c>
      <c r="J564" s="12" t="s">
        <v>58</v>
      </c>
      <c r="K564" s="12" t="s">
        <v>228</v>
      </c>
      <c r="L564" s="12" t="s">
        <v>198</v>
      </c>
      <c r="M564" s="12" t="s">
        <v>2892</v>
      </c>
      <c r="N564" s="12" t="s">
        <v>2893</v>
      </c>
      <c r="O564" s="12" t="s">
        <v>409</v>
      </c>
      <c r="P564" s="12"/>
      <c r="Q564" s="12"/>
      <c r="R564" s="12"/>
      <c r="S564" s="12" t="s">
        <v>4049</v>
      </c>
      <c r="T564" s="12" t="s">
        <v>3505</v>
      </c>
    </row>
    <row r="565" spans="1:20" ht="28" x14ac:dyDescent="0.35">
      <c r="A565" s="12" t="s">
        <v>2896</v>
      </c>
      <c r="B565" s="12" t="s">
        <v>2897</v>
      </c>
      <c r="C565" s="12" t="s">
        <v>128</v>
      </c>
      <c r="D565" s="12"/>
      <c r="E565" s="12" t="s">
        <v>2414</v>
      </c>
      <c r="F565" s="28" t="s">
        <v>209</v>
      </c>
      <c r="G565" s="28" t="s">
        <v>2900</v>
      </c>
      <c r="H565" s="12" t="s">
        <v>2901</v>
      </c>
      <c r="I565" s="12" t="s">
        <v>67</v>
      </c>
      <c r="J565" s="12" t="s">
        <v>68</v>
      </c>
      <c r="K565" s="12" t="s">
        <v>228</v>
      </c>
      <c r="L565" s="12" t="s">
        <v>198</v>
      </c>
      <c r="M565" s="12" t="s">
        <v>2898</v>
      </c>
      <c r="N565" s="12" t="s">
        <v>2899</v>
      </c>
      <c r="O565" s="12" t="s">
        <v>409</v>
      </c>
      <c r="P565" s="12" t="s">
        <v>3325</v>
      </c>
      <c r="Q565" s="12" t="s">
        <v>4050</v>
      </c>
      <c r="R565" s="12"/>
      <c r="S565" s="12" t="s">
        <v>4051</v>
      </c>
      <c r="T565" s="12" t="s">
        <v>4052</v>
      </c>
    </row>
    <row r="566" spans="1:20" ht="56" x14ac:dyDescent="0.35">
      <c r="A566" s="12" t="s">
        <v>2902</v>
      </c>
      <c r="B566" s="12" t="s">
        <v>2903</v>
      </c>
      <c r="C566" s="12" t="s">
        <v>128</v>
      </c>
      <c r="D566" s="12"/>
      <c r="E566" s="12"/>
      <c r="F566" s="28" t="s">
        <v>216</v>
      </c>
      <c r="G566" s="28" t="s">
        <v>2904</v>
      </c>
      <c r="H566" s="12" t="s">
        <v>2905</v>
      </c>
      <c r="I566" s="12" t="s">
        <v>69</v>
      </c>
      <c r="J566" s="12" t="s">
        <v>70</v>
      </c>
      <c r="K566" s="12" t="s">
        <v>308</v>
      </c>
      <c r="L566" s="12" t="s">
        <v>259</v>
      </c>
      <c r="M566" s="12" t="s">
        <v>2415</v>
      </c>
      <c r="N566" s="12" t="s">
        <v>2416</v>
      </c>
      <c r="O566" s="12" t="s">
        <v>409</v>
      </c>
      <c r="P566" s="12"/>
      <c r="Q566" s="12"/>
      <c r="R566" s="12"/>
      <c r="S566" s="12" t="s">
        <v>4053</v>
      </c>
      <c r="T566" s="12" t="s">
        <v>4054</v>
      </c>
    </row>
    <row r="567" spans="1:20" ht="28" x14ac:dyDescent="0.35">
      <c r="A567" s="12" t="s">
        <v>2906</v>
      </c>
      <c r="B567" s="12" t="s">
        <v>2907</v>
      </c>
      <c r="C567" s="12" t="s">
        <v>128</v>
      </c>
      <c r="D567" s="12"/>
      <c r="E567" s="12"/>
      <c r="F567" s="28" t="s">
        <v>209</v>
      </c>
      <c r="G567" s="28" t="s">
        <v>2910</v>
      </c>
      <c r="H567" s="12" t="s">
        <v>2911</v>
      </c>
      <c r="I567" s="12" t="s">
        <v>53</v>
      </c>
      <c r="J567" s="12" t="s">
        <v>54</v>
      </c>
      <c r="K567" s="12" t="s">
        <v>308</v>
      </c>
      <c r="L567" s="12" t="s">
        <v>259</v>
      </c>
      <c r="M567" s="12" t="s">
        <v>2908</v>
      </c>
      <c r="N567" s="12" t="s">
        <v>2909</v>
      </c>
      <c r="O567" s="12" t="s">
        <v>626</v>
      </c>
      <c r="P567" s="12"/>
      <c r="Q567" s="12"/>
      <c r="R567" s="12" t="s">
        <v>4055</v>
      </c>
      <c r="S567" s="12"/>
      <c r="T567" s="12" t="s">
        <v>4056</v>
      </c>
    </row>
    <row r="568" spans="1:20" ht="56" x14ac:dyDescent="0.35">
      <c r="A568" s="12" t="s">
        <v>2912</v>
      </c>
      <c r="B568" s="12" t="s">
        <v>2913</v>
      </c>
      <c r="C568" s="12" t="s">
        <v>128</v>
      </c>
      <c r="D568" s="12"/>
      <c r="E568" s="12"/>
      <c r="F568" s="28" t="s">
        <v>216</v>
      </c>
      <c r="G568" s="28" t="s">
        <v>2915</v>
      </c>
      <c r="H568" s="12" t="s">
        <v>2916</v>
      </c>
      <c r="I568" s="12" t="s">
        <v>67</v>
      </c>
      <c r="J568" s="12" t="s">
        <v>68</v>
      </c>
      <c r="K568" s="12" t="s">
        <v>228</v>
      </c>
      <c r="L568" s="12" t="s">
        <v>198</v>
      </c>
      <c r="M568" s="12" t="s">
        <v>2445</v>
      </c>
      <c r="N568" s="12" t="s">
        <v>2914</v>
      </c>
      <c r="O568" s="12" t="s">
        <v>667</v>
      </c>
      <c r="P568" s="12"/>
      <c r="Q568" s="12"/>
      <c r="R568" s="12"/>
      <c r="S568" s="12" t="s">
        <v>4057</v>
      </c>
      <c r="T568" s="12" t="s">
        <v>4058</v>
      </c>
    </row>
    <row r="569" spans="1:20" ht="28" x14ac:dyDescent="0.35">
      <c r="A569" s="12" t="s">
        <v>2917</v>
      </c>
      <c r="B569" s="12" t="s">
        <v>2918</v>
      </c>
      <c r="C569" s="12" t="s">
        <v>128</v>
      </c>
      <c r="D569" s="12"/>
      <c r="E569" s="12"/>
      <c r="F569" s="28" t="s">
        <v>209</v>
      </c>
      <c r="G569" s="28" t="s">
        <v>2919</v>
      </c>
      <c r="H569" s="12" t="s">
        <v>2920</v>
      </c>
      <c r="I569" s="12" t="s">
        <v>61</v>
      </c>
      <c r="J569" s="12" t="s">
        <v>62</v>
      </c>
      <c r="K569" s="12" t="s">
        <v>228</v>
      </c>
      <c r="L569" s="12" t="s">
        <v>198</v>
      </c>
      <c r="M569" s="12" t="s">
        <v>791</v>
      </c>
      <c r="N569" s="12" t="s">
        <v>792</v>
      </c>
      <c r="O569" s="12" t="s">
        <v>724</v>
      </c>
      <c r="P569" s="12"/>
      <c r="Q569" s="12"/>
      <c r="R569" s="12"/>
      <c r="S569" s="12"/>
      <c r="T569" s="12" t="s">
        <v>4059</v>
      </c>
    </row>
    <row r="570" spans="1:20" ht="28" x14ac:dyDescent="0.35">
      <c r="A570" s="12" t="s">
        <v>2921</v>
      </c>
      <c r="B570" s="12" t="s">
        <v>2922</v>
      </c>
      <c r="C570" s="12" t="s">
        <v>128</v>
      </c>
      <c r="D570" s="12"/>
      <c r="E570" s="12"/>
      <c r="F570" s="28" t="s">
        <v>209</v>
      </c>
      <c r="G570" s="28" t="s">
        <v>2925</v>
      </c>
      <c r="H570" s="12" t="s">
        <v>2926</v>
      </c>
      <c r="I570" s="12" t="s">
        <v>53</v>
      </c>
      <c r="J570" s="12" t="s">
        <v>54</v>
      </c>
      <c r="K570" s="12" t="s">
        <v>228</v>
      </c>
      <c r="L570" s="12" t="s">
        <v>198</v>
      </c>
      <c r="M570" s="12" t="s">
        <v>2923</v>
      </c>
      <c r="N570" s="12" t="s">
        <v>2924</v>
      </c>
      <c r="O570" s="12" t="s">
        <v>971</v>
      </c>
      <c r="P570" s="12"/>
      <c r="Q570" s="12"/>
      <c r="R570" s="12"/>
      <c r="S570" s="12"/>
      <c r="T570" s="12" t="s">
        <v>4060</v>
      </c>
    </row>
    <row r="571" spans="1:20" ht="70" x14ac:dyDescent="0.35">
      <c r="A571" s="12" t="s">
        <v>2927</v>
      </c>
      <c r="B571" s="12" t="s">
        <v>2928</v>
      </c>
      <c r="C571" s="12" t="s">
        <v>122</v>
      </c>
      <c r="D571" s="12" t="s">
        <v>38</v>
      </c>
      <c r="E571" s="12"/>
      <c r="F571" s="28" t="s">
        <v>4722</v>
      </c>
      <c r="G571" s="28" t="s">
        <v>4723</v>
      </c>
      <c r="H571" s="12" t="s">
        <v>4724</v>
      </c>
      <c r="I571" s="12" t="s">
        <v>79</v>
      </c>
      <c r="J571" s="12" t="s">
        <v>80</v>
      </c>
      <c r="K571" s="12" t="s">
        <v>331</v>
      </c>
      <c r="L571" s="12" t="s">
        <v>239</v>
      </c>
      <c r="M571" s="12" t="s">
        <v>2929</v>
      </c>
      <c r="N571" s="12" t="s">
        <v>2930</v>
      </c>
      <c r="O571" s="12" t="s">
        <v>1188</v>
      </c>
      <c r="P571" s="12"/>
      <c r="Q571" s="12"/>
      <c r="R571" s="12"/>
      <c r="S571" s="12" t="s">
        <v>4061</v>
      </c>
      <c r="T571" s="12" t="s">
        <v>4062</v>
      </c>
    </row>
    <row r="572" spans="1:20" ht="28" x14ac:dyDescent="0.35">
      <c r="A572" s="12" t="s">
        <v>2931</v>
      </c>
      <c r="B572" s="12" t="s">
        <v>2932</v>
      </c>
      <c r="C572" s="12" t="s">
        <v>128</v>
      </c>
      <c r="D572" s="12"/>
      <c r="E572" s="12"/>
      <c r="F572" s="28" t="s">
        <v>216</v>
      </c>
      <c r="G572" s="28" t="s">
        <v>2935</v>
      </c>
      <c r="H572" s="12" t="s">
        <v>2936</v>
      </c>
      <c r="I572" s="12" t="s">
        <v>55</v>
      </c>
      <c r="J572" s="12" t="s">
        <v>56</v>
      </c>
      <c r="K572" s="12" t="s">
        <v>331</v>
      </c>
      <c r="L572" s="12" t="s">
        <v>239</v>
      </c>
      <c r="M572" s="12" t="s">
        <v>2933</v>
      </c>
      <c r="N572" s="12" t="s">
        <v>2934</v>
      </c>
      <c r="O572" s="12" t="s">
        <v>1662</v>
      </c>
      <c r="P572" s="12"/>
      <c r="Q572" s="12"/>
      <c r="R572" s="12"/>
      <c r="S572" s="12" t="s">
        <v>4063</v>
      </c>
      <c r="T572" s="12" t="s">
        <v>4064</v>
      </c>
    </row>
    <row r="573" spans="1:20" ht="28" x14ac:dyDescent="0.35">
      <c r="A573" s="12" t="s">
        <v>2937</v>
      </c>
      <c r="B573" s="12" t="s">
        <v>2938</v>
      </c>
      <c r="C573" s="12" t="s">
        <v>128</v>
      </c>
      <c r="D573" s="12"/>
      <c r="E573" s="12"/>
      <c r="F573" s="28" t="s">
        <v>209</v>
      </c>
      <c r="G573" s="28" t="s">
        <v>2941</v>
      </c>
      <c r="H573" s="12" t="s">
        <v>2942</v>
      </c>
      <c r="I573" s="12" t="s">
        <v>57</v>
      </c>
      <c r="J573" s="12" t="s">
        <v>58</v>
      </c>
      <c r="K573" s="12" t="s">
        <v>228</v>
      </c>
      <c r="L573" s="12" t="s">
        <v>198</v>
      </c>
      <c r="M573" s="12" t="s">
        <v>2939</v>
      </c>
      <c r="N573" s="12" t="s">
        <v>2940</v>
      </c>
      <c r="O573" s="12" t="s">
        <v>1678</v>
      </c>
      <c r="P573" s="12"/>
      <c r="Q573" s="12"/>
      <c r="R573" s="12"/>
      <c r="S573" s="12" t="s">
        <v>4065</v>
      </c>
      <c r="T573" s="12" t="s">
        <v>4066</v>
      </c>
    </row>
    <row r="574" spans="1:20" ht="28" x14ac:dyDescent="0.35">
      <c r="A574" s="12" t="s">
        <v>2943</v>
      </c>
      <c r="B574" s="12" t="s">
        <v>2944</v>
      </c>
      <c r="C574" s="12" t="s">
        <v>128</v>
      </c>
      <c r="D574" s="12"/>
      <c r="E574" s="12"/>
      <c r="F574" s="28" t="s">
        <v>209</v>
      </c>
      <c r="G574" s="28" t="s">
        <v>2947</v>
      </c>
      <c r="H574" s="12" t="s">
        <v>2948</v>
      </c>
      <c r="I574" s="12" t="s">
        <v>53</v>
      </c>
      <c r="J574" s="12" t="s">
        <v>54</v>
      </c>
      <c r="K574" s="12" t="s">
        <v>308</v>
      </c>
      <c r="L574" s="12" t="s">
        <v>259</v>
      </c>
      <c r="M574" s="12" t="s">
        <v>2945</v>
      </c>
      <c r="N574" s="12" t="s">
        <v>2946</v>
      </c>
      <c r="O574" s="12" t="s">
        <v>1678</v>
      </c>
      <c r="P574" s="12"/>
      <c r="Q574" s="12"/>
      <c r="R574" s="12"/>
      <c r="S574" s="12"/>
      <c r="T574" s="12" t="s">
        <v>4067</v>
      </c>
    </row>
    <row r="575" spans="1:20" ht="28" x14ac:dyDescent="0.35">
      <c r="A575" s="12" t="s">
        <v>2949</v>
      </c>
      <c r="B575" s="12" t="s">
        <v>2950</v>
      </c>
      <c r="C575" s="12" t="s">
        <v>128</v>
      </c>
      <c r="D575" s="12"/>
      <c r="E575" s="12"/>
      <c r="F575" s="28" t="s">
        <v>209</v>
      </c>
      <c r="G575" s="28" t="s">
        <v>2953</v>
      </c>
      <c r="H575" s="12" t="s">
        <v>2954</v>
      </c>
      <c r="I575" s="12" t="s">
        <v>81</v>
      </c>
      <c r="J575" s="12" t="s">
        <v>82</v>
      </c>
      <c r="K575" s="12" t="s">
        <v>308</v>
      </c>
      <c r="L575" s="12" t="s">
        <v>259</v>
      </c>
      <c r="M575" s="12" t="s">
        <v>2951</v>
      </c>
      <c r="N575" s="12" t="s">
        <v>2952</v>
      </c>
      <c r="O575" s="12" t="s">
        <v>1935</v>
      </c>
      <c r="P575" s="12"/>
      <c r="Q575" s="12"/>
      <c r="R575" s="12"/>
      <c r="S575" s="12" t="s">
        <v>4068</v>
      </c>
      <c r="T575" s="12" t="s">
        <v>4069</v>
      </c>
    </row>
    <row r="576" spans="1:20" ht="28" x14ac:dyDescent="0.35">
      <c r="A576" s="12" t="s">
        <v>2955</v>
      </c>
      <c r="B576" s="12" t="s">
        <v>2956</v>
      </c>
      <c r="C576" s="12" t="s">
        <v>128</v>
      </c>
      <c r="D576" s="12"/>
      <c r="E576" s="12"/>
      <c r="F576" s="28" t="s">
        <v>209</v>
      </c>
      <c r="G576" s="28" t="s">
        <v>2959</v>
      </c>
      <c r="H576" s="12" t="s">
        <v>2960</v>
      </c>
      <c r="I576" s="12" t="s">
        <v>73</v>
      </c>
      <c r="J576" s="12" t="s">
        <v>74</v>
      </c>
      <c r="K576" s="12" t="s">
        <v>228</v>
      </c>
      <c r="L576" s="12" t="s">
        <v>198</v>
      </c>
      <c r="M576" s="12" t="s">
        <v>2957</v>
      </c>
      <c r="N576" s="12" t="s">
        <v>2958</v>
      </c>
      <c r="O576" s="12" t="s">
        <v>1935</v>
      </c>
      <c r="P576" s="12"/>
      <c r="Q576" s="12"/>
      <c r="R576" s="12"/>
      <c r="S576" s="12" t="s">
        <v>4070</v>
      </c>
      <c r="T576" s="12" t="s">
        <v>4071</v>
      </c>
    </row>
    <row r="577" spans="1:20" ht="28" x14ac:dyDescent="0.35">
      <c r="A577" s="12" t="s">
        <v>2961</v>
      </c>
      <c r="B577" s="12" t="s">
        <v>2962</v>
      </c>
      <c r="C577" s="12" t="s">
        <v>128</v>
      </c>
      <c r="D577" s="12"/>
      <c r="E577" s="12"/>
      <c r="F577" s="28" t="s">
        <v>209</v>
      </c>
      <c r="G577" s="28" t="s">
        <v>2953</v>
      </c>
      <c r="H577" s="12" t="s">
        <v>2963</v>
      </c>
      <c r="I577" s="12" t="s">
        <v>71</v>
      </c>
      <c r="J577" s="12" t="s">
        <v>72</v>
      </c>
      <c r="K577" s="12" t="s">
        <v>228</v>
      </c>
      <c r="L577" s="12" t="s">
        <v>198</v>
      </c>
      <c r="M577" s="12" t="s">
        <v>2081</v>
      </c>
      <c r="N577" s="12" t="s">
        <v>2082</v>
      </c>
      <c r="O577" s="12" t="s">
        <v>2072</v>
      </c>
      <c r="P577" s="12"/>
      <c r="Q577" s="12"/>
      <c r="R577" s="12"/>
      <c r="S577" s="12" t="s">
        <v>4072</v>
      </c>
      <c r="T577" s="12" t="s">
        <v>3769</v>
      </c>
    </row>
    <row r="578" spans="1:20" x14ac:dyDescent="0.35">
      <c r="A578" s="12" t="s">
        <v>2964</v>
      </c>
      <c r="B578" s="12" t="s">
        <v>2965</v>
      </c>
      <c r="C578" s="12" t="s">
        <v>128</v>
      </c>
      <c r="D578" s="12"/>
      <c r="E578" s="12"/>
      <c r="F578" s="28" t="s">
        <v>209</v>
      </c>
      <c r="G578" s="28" t="s">
        <v>2968</v>
      </c>
      <c r="H578" s="12" t="s">
        <v>2969</v>
      </c>
      <c r="I578" s="12" t="s">
        <v>67</v>
      </c>
      <c r="J578" s="12" t="s">
        <v>68</v>
      </c>
      <c r="K578" s="12" t="s">
        <v>228</v>
      </c>
      <c r="L578" s="12" t="s">
        <v>198</v>
      </c>
      <c r="M578" s="12" t="s">
        <v>2966</v>
      </c>
      <c r="N578" s="12" t="s">
        <v>2967</v>
      </c>
      <c r="O578" s="12" t="s">
        <v>2072</v>
      </c>
      <c r="P578" s="12"/>
      <c r="Q578" s="12"/>
      <c r="R578" s="12"/>
      <c r="S578" s="12" t="s">
        <v>4073</v>
      </c>
      <c r="T578" s="12" t="s">
        <v>3434</v>
      </c>
    </row>
    <row r="579" spans="1:20" ht="28" x14ac:dyDescent="0.35">
      <c r="A579" s="12" t="s">
        <v>2970</v>
      </c>
      <c r="B579" s="12" t="s">
        <v>2971</v>
      </c>
      <c r="C579" s="12" t="s">
        <v>128</v>
      </c>
      <c r="D579" s="12"/>
      <c r="E579" s="12"/>
      <c r="F579" s="28" t="s">
        <v>216</v>
      </c>
      <c r="G579" s="28" t="s">
        <v>2974</v>
      </c>
      <c r="H579" s="12" t="s">
        <v>2975</v>
      </c>
      <c r="I579" s="12" t="s">
        <v>79</v>
      </c>
      <c r="J579" s="12" t="s">
        <v>80</v>
      </c>
      <c r="K579" s="12" t="s">
        <v>308</v>
      </c>
      <c r="L579" s="12" t="s">
        <v>259</v>
      </c>
      <c r="M579" s="12" t="s">
        <v>2972</v>
      </c>
      <c r="N579" s="12" t="s">
        <v>2973</v>
      </c>
      <c r="O579" s="12" t="s">
        <v>2131</v>
      </c>
      <c r="P579" s="12"/>
      <c r="Q579" s="12"/>
      <c r="R579" s="12"/>
      <c r="S579" s="12" t="s">
        <v>4074</v>
      </c>
      <c r="T579" s="12" t="s">
        <v>4075</v>
      </c>
    </row>
    <row r="580" spans="1:20" ht="28" x14ac:dyDescent="0.35">
      <c r="A580" s="12" t="s">
        <v>2976</v>
      </c>
      <c r="B580" s="12" t="s">
        <v>2977</v>
      </c>
      <c r="C580" s="12" t="s">
        <v>128</v>
      </c>
      <c r="D580" s="12"/>
      <c r="E580" s="12"/>
      <c r="F580" s="28" t="s">
        <v>209</v>
      </c>
      <c r="G580" s="28" t="s">
        <v>2978</v>
      </c>
      <c r="H580" s="12" t="s">
        <v>2979</v>
      </c>
      <c r="I580" s="12" t="s">
        <v>69</v>
      </c>
      <c r="J580" s="12" t="s">
        <v>70</v>
      </c>
      <c r="K580" s="12" t="s">
        <v>228</v>
      </c>
      <c r="L580" s="12" t="s">
        <v>198</v>
      </c>
      <c r="M580" s="12" t="s">
        <v>2218</v>
      </c>
      <c r="N580" s="12" t="s">
        <v>2219</v>
      </c>
      <c r="O580" s="12" t="s">
        <v>2198</v>
      </c>
      <c r="P580" s="12"/>
      <c r="Q580" s="12"/>
      <c r="R580" s="12"/>
      <c r="S580" s="12" t="s">
        <v>4076</v>
      </c>
      <c r="T580" s="12" t="s">
        <v>4077</v>
      </c>
    </row>
    <row r="581" spans="1:20" ht="28" x14ac:dyDescent="0.35">
      <c r="A581" s="12" t="s">
        <v>2980</v>
      </c>
      <c r="B581" s="12" t="s">
        <v>2981</v>
      </c>
      <c r="C581" s="12" t="s">
        <v>128</v>
      </c>
      <c r="D581" s="12"/>
      <c r="E581" s="12"/>
      <c r="F581" s="28" t="s">
        <v>209</v>
      </c>
      <c r="G581" s="28" t="s">
        <v>2982</v>
      </c>
      <c r="H581" s="12" t="s">
        <v>2983</v>
      </c>
      <c r="I581" s="12" t="s">
        <v>81</v>
      </c>
      <c r="J581" s="12" t="s">
        <v>82</v>
      </c>
      <c r="K581" s="12" t="s">
        <v>228</v>
      </c>
      <c r="L581" s="12" t="s">
        <v>198</v>
      </c>
      <c r="M581" s="12" t="s">
        <v>2296</v>
      </c>
      <c r="N581" s="12" t="s">
        <v>2297</v>
      </c>
      <c r="O581" s="12" t="s">
        <v>2224</v>
      </c>
      <c r="P581" s="12"/>
      <c r="Q581" s="12"/>
      <c r="R581" s="12"/>
      <c r="S581" s="12"/>
      <c r="T581" s="12" t="s">
        <v>4078</v>
      </c>
    </row>
    <row r="582" spans="1:20" ht="28" x14ac:dyDescent="0.35">
      <c r="A582" s="12" t="s">
        <v>2984</v>
      </c>
      <c r="B582" s="12" t="s">
        <v>2985</v>
      </c>
      <c r="C582" s="12" t="s">
        <v>128</v>
      </c>
      <c r="D582" s="12"/>
      <c r="E582" s="12"/>
      <c r="F582" s="28" t="s">
        <v>209</v>
      </c>
      <c r="G582" s="28" t="s">
        <v>2988</v>
      </c>
      <c r="H582" s="12" t="s">
        <v>2989</v>
      </c>
      <c r="I582" s="12" t="s">
        <v>71</v>
      </c>
      <c r="J582" s="12" t="s">
        <v>72</v>
      </c>
      <c r="K582" s="12" t="s">
        <v>308</v>
      </c>
      <c r="L582" s="12" t="s">
        <v>259</v>
      </c>
      <c r="M582" s="12" t="s">
        <v>2986</v>
      </c>
      <c r="N582" s="12" t="s">
        <v>2987</v>
      </c>
      <c r="O582" s="12" t="s">
        <v>2224</v>
      </c>
      <c r="P582" s="12"/>
      <c r="Q582" s="12"/>
      <c r="R582" s="12"/>
      <c r="S582" s="12" t="s">
        <v>4079</v>
      </c>
      <c r="T582" s="12" t="s">
        <v>4080</v>
      </c>
    </row>
    <row r="583" spans="1:20" x14ac:dyDescent="0.35">
      <c r="A583" s="12" t="s">
        <v>2990</v>
      </c>
      <c r="B583" s="12" t="s">
        <v>2991</v>
      </c>
      <c r="C583" s="12" t="s">
        <v>128</v>
      </c>
      <c r="D583" s="12"/>
      <c r="E583" s="12"/>
      <c r="F583" s="28" t="s">
        <v>209</v>
      </c>
      <c r="G583" s="28" t="s">
        <v>2992</v>
      </c>
      <c r="H583" s="12" t="s">
        <v>2993</v>
      </c>
      <c r="I583" s="12" t="s">
        <v>63</v>
      </c>
      <c r="J583" s="12" t="s">
        <v>64</v>
      </c>
      <c r="K583" s="12" t="s">
        <v>308</v>
      </c>
      <c r="L583" s="12" t="s">
        <v>259</v>
      </c>
      <c r="M583" s="12" t="s">
        <v>2280</v>
      </c>
      <c r="N583" s="12" t="s">
        <v>2281</v>
      </c>
      <c r="O583" s="12" t="s">
        <v>2224</v>
      </c>
      <c r="P583" s="12"/>
      <c r="Q583" s="12"/>
      <c r="R583" s="12"/>
      <c r="S583" s="12"/>
      <c r="T583" s="12" t="s">
        <v>4081</v>
      </c>
    </row>
    <row r="584" spans="1:20" ht="28" x14ac:dyDescent="0.35">
      <c r="A584" s="12" t="s">
        <v>2994</v>
      </c>
      <c r="B584" s="12" t="s">
        <v>2995</v>
      </c>
      <c r="C584" s="12" t="s">
        <v>128</v>
      </c>
      <c r="D584" s="12"/>
      <c r="E584" s="12"/>
      <c r="F584" s="28" t="s">
        <v>216</v>
      </c>
      <c r="G584" s="28" t="s">
        <v>2998</v>
      </c>
      <c r="H584" s="12" t="s">
        <v>2999</v>
      </c>
      <c r="I584" s="12" t="s">
        <v>53</v>
      </c>
      <c r="J584" s="12" t="s">
        <v>54</v>
      </c>
      <c r="K584" s="12" t="s">
        <v>308</v>
      </c>
      <c r="L584" s="12" t="s">
        <v>259</v>
      </c>
      <c r="M584" s="12" t="s">
        <v>2996</v>
      </c>
      <c r="N584" s="12" t="s">
        <v>2997</v>
      </c>
      <c r="O584" s="12" t="s">
        <v>2224</v>
      </c>
      <c r="P584" s="12"/>
      <c r="Q584" s="12"/>
      <c r="R584" s="12"/>
      <c r="S584" s="12" t="s">
        <v>4082</v>
      </c>
      <c r="T584" s="12" t="s">
        <v>4083</v>
      </c>
    </row>
    <row r="585" spans="1:20" ht="112" x14ac:dyDescent="0.35">
      <c r="A585" s="12" t="s">
        <v>3000</v>
      </c>
      <c r="B585" s="12" t="s">
        <v>3001</v>
      </c>
      <c r="C585" s="12" t="s">
        <v>128</v>
      </c>
      <c r="D585" s="12"/>
      <c r="E585" s="12"/>
      <c r="F585" s="28" t="s">
        <v>216</v>
      </c>
      <c r="G585" s="28" t="s">
        <v>3002</v>
      </c>
      <c r="H585" s="12" t="s">
        <v>3003</v>
      </c>
      <c r="I585" s="12" t="s">
        <v>73</v>
      </c>
      <c r="J585" s="12" t="s">
        <v>74</v>
      </c>
      <c r="K585" s="12" t="s">
        <v>308</v>
      </c>
      <c r="L585" s="12" t="s">
        <v>259</v>
      </c>
      <c r="M585" s="12" t="s">
        <v>2233</v>
      </c>
      <c r="N585" s="12" t="s">
        <v>2234</v>
      </c>
      <c r="O585" s="12" t="s">
        <v>2224</v>
      </c>
      <c r="P585" s="12"/>
      <c r="Q585" s="12"/>
      <c r="R585" s="12" t="s">
        <v>4084</v>
      </c>
      <c r="S585" s="12" t="s">
        <v>4085</v>
      </c>
      <c r="T585" s="12" t="s">
        <v>4086</v>
      </c>
    </row>
    <row r="586" spans="1:20" ht="28" x14ac:dyDescent="0.35">
      <c r="A586" s="12" t="s">
        <v>3004</v>
      </c>
      <c r="B586" s="12" t="s">
        <v>3005</v>
      </c>
      <c r="C586" s="12" t="s">
        <v>128</v>
      </c>
      <c r="D586" s="12"/>
      <c r="E586" s="12" t="s">
        <v>2414</v>
      </c>
      <c r="F586" s="28" t="s">
        <v>216</v>
      </c>
      <c r="G586" s="28" t="s">
        <v>3010</v>
      </c>
      <c r="H586" s="12" t="s">
        <v>3011</v>
      </c>
      <c r="I586" s="12" t="s">
        <v>3006</v>
      </c>
      <c r="J586" s="12" t="s">
        <v>3007</v>
      </c>
      <c r="K586" s="12" t="s">
        <v>308</v>
      </c>
      <c r="L586" s="12" t="s">
        <v>259</v>
      </c>
      <c r="M586" s="12" t="s">
        <v>3008</v>
      </c>
      <c r="N586" s="12" t="s">
        <v>3009</v>
      </c>
      <c r="O586" s="12" t="s">
        <v>2224</v>
      </c>
      <c r="P586" s="12" t="s">
        <v>3325</v>
      </c>
      <c r="Q586" s="12" t="s">
        <v>4087</v>
      </c>
      <c r="R586" s="12"/>
      <c r="S586" s="12" t="s">
        <v>4088</v>
      </c>
      <c r="T586" s="12" t="s">
        <v>4089</v>
      </c>
    </row>
    <row r="587" spans="1:20" x14ac:dyDescent="0.35">
      <c r="A587" s="12" t="s">
        <v>3012</v>
      </c>
      <c r="B587" s="12" t="s">
        <v>3013</v>
      </c>
      <c r="C587" s="12" t="s">
        <v>128</v>
      </c>
      <c r="D587" s="12"/>
      <c r="E587" s="12"/>
      <c r="F587" s="28" t="s">
        <v>209</v>
      </c>
      <c r="G587" s="28" t="s">
        <v>3016</v>
      </c>
      <c r="H587" s="12" t="s">
        <v>3017</v>
      </c>
      <c r="I587" s="12" t="s">
        <v>65</v>
      </c>
      <c r="J587" s="12" t="s">
        <v>66</v>
      </c>
      <c r="K587" s="12" t="s">
        <v>308</v>
      </c>
      <c r="L587" s="12" t="s">
        <v>259</v>
      </c>
      <c r="M587" s="12" t="s">
        <v>3014</v>
      </c>
      <c r="N587" s="12" t="s">
        <v>3015</v>
      </c>
      <c r="O587" s="12" t="s">
        <v>2355</v>
      </c>
      <c r="P587" s="12"/>
      <c r="Q587" s="12"/>
      <c r="R587" s="12"/>
      <c r="S587" s="12"/>
      <c r="T587" s="12" t="s">
        <v>4090</v>
      </c>
    </row>
    <row r="588" spans="1:20" ht="28" x14ac:dyDescent="0.35">
      <c r="A588" s="12" t="s">
        <v>3018</v>
      </c>
      <c r="B588" s="12" t="s">
        <v>3019</v>
      </c>
      <c r="C588" s="12" t="s">
        <v>128</v>
      </c>
      <c r="D588" s="12"/>
      <c r="E588" s="12"/>
      <c r="F588" s="28" t="s">
        <v>209</v>
      </c>
      <c r="G588" s="28" t="s">
        <v>3023</v>
      </c>
      <c r="H588" s="12" t="s">
        <v>3024</v>
      </c>
      <c r="I588" s="12" t="s">
        <v>67</v>
      </c>
      <c r="J588" s="12" t="s">
        <v>68</v>
      </c>
      <c r="K588" s="12" t="s">
        <v>308</v>
      </c>
      <c r="L588" s="12" t="s">
        <v>259</v>
      </c>
      <c r="M588" s="12" t="s">
        <v>3020</v>
      </c>
      <c r="N588" s="12" t="s">
        <v>3021</v>
      </c>
      <c r="O588" s="12" t="s">
        <v>3022</v>
      </c>
      <c r="P588" s="12"/>
      <c r="Q588" s="12"/>
      <c r="R588" s="12"/>
      <c r="S588" s="12"/>
      <c r="T588" s="12" t="s">
        <v>4091</v>
      </c>
    </row>
    <row r="589" spans="1:20" ht="28" x14ac:dyDescent="0.35">
      <c r="A589" s="12" t="s">
        <v>3025</v>
      </c>
      <c r="B589" s="12" t="s">
        <v>3026</v>
      </c>
      <c r="C589" s="12" t="s">
        <v>131</v>
      </c>
      <c r="D589" s="12"/>
      <c r="E589" s="12"/>
      <c r="F589" s="28" t="s">
        <v>209</v>
      </c>
      <c r="G589" s="28" t="s">
        <v>3030</v>
      </c>
      <c r="H589" s="12" t="s">
        <v>3031</v>
      </c>
      <c r="I589" s="12" t="s">
        <v>81</v>
      </c>
      <c r="J589" s="12" t="s">
        <v>82</v>
      </c>
      <c r="K589" s="12" t="s">
        <v>331</v>
      </c>
      <c r="L589" s="12" t="s">
        <v>239</v>
      </c>
      <c r="M589" s="12" t="s">
        <v>3027</v>
      </c>
      <c r="N589" s="12" t="s">
        <v>3028</v>
      </c>
      <c r="O589" s="12" t="s">
        <v>3029</v>
      </c>
      <c r="P589" s="12"/>
      <c r="Q589" s="12"/>
      <c r="R589" s="12"/>
      <c r="S589" s="12" t="s">
        <v>4092</v>
      </c>
      <c r="T589" s="12" t="s">
        <v>4093</v>
      </c>
    </row>
    <row r="590" spans="1:20" x14ac:dyDescent="0.35">
      <c r="A590" s="12" t="s">
        <v>3032</v>
      </c>
      <c r="B590" s="12" t="s">
        <v>3033</v>
      </c>
      <c r="C590" s="12" t="s">
        <v>131</v>
      </c>
      <c r="D590" s="12"/>
      <c r="E590" s="12"/>
      <c r="F590" s="28" t="s">
        <v>209</v>
      </c>
      <c r="G590" s="28" t="s">
        <v>3036</v>
      </c>
      <c r="H590" s="12" t="s">
        <v>3037</v>
      </c>
      <c r="I590" s="12" t="s">
        <v>69</v>
      </c>
      <c r="J590" s="12" t="s">
        <v>70</v>
      </c>
      <c r="K590" s="12" t="s">
        <v>228</v>
      </c>
      <c r="L590" s="12" t="s">
        <v>198</v>
      </c>
      <c r="M590" s="12" t="s">
        <v>3034</v>
      </c>
      <c r="N590" s="12" t="s">
        <v>3035</v>
      </c>
      <c r="O590" s="12" t="s">
        <v>341</v>
      </c>
      <c r="P590" s="12"/>
      <c r="Q590" s="12"/>
      <c r="R590" s="12"/>
      <c r="S590" s="12" t="s">
        <v>4094</v>
      </c>
      <c r="T590" s="12" t="s">
        <v>4095</v>
      </c>
    </row>
    <row r="591" spans="1:20" ht="28" x14ac:dyDescent="0.35">
      <c r="A591" s="12" t="s">
        <v>3038</v>
      </c>
      <c r="B591" s="12" t="s">
        <v>3039</v>
      </c>
      <c r="C591" s="12" t="s">
        <v>131</v>
      </c>
      <c r="D591" s="12"/>
      <c r="E591" s="12"/>
      <c r="F591" s="28" t="s">
        <v>209</v>
      </c>
      <c r="G591" s="28" t="s">
        <v>3044</v>
      </c>
      <c r="H591" s="12" t="s">
        <v>3045</v>
      </c>
      <c r="I591" s="12" t="s">
        <v>3040</v>
      </c>
      <c r="J591" s="12" t="s">
        <v>3041</v>
      </c>
      <c r="K591" s="12" t="s">
        <v>228</v>
      </c>
      <c r="L591" s="12" t="s">
        <v>198</v>
      </c>
      <c r="M591" s="12" t="s">
        <v>3042</v>
      </c>
      <c r="N591" s="12" t="s">
        <v>3043</v>
      </c>
      <c r="O591" s="12" t="s">
        <v>586</v>
      </c>
      <c r="P591" s="12"/>
      <c r="Q591" s="12"/>
      <c r="R591" s="12" t="s">
        <v>4096</v>
      </c>
      <c r="S591" s="12" t="s">
        <v>4097</v>
      </c>
      <c r="T591" s="12" t="s">
        <v>4098</v>
      </c>
    </row>
    <row r="592" spans="1:20" x14ac:dyDescent="0.35">
      <c r="A592" s="12" t="s">
        <v>3046</v>
      </c>
      <c r="B592" s="12" t="s">
        <v>3047</v>
      </c>
      <c r="C592" s="12" t="s">
        <v>131</v>
      </c>
      <c r="D592" s="12"/>
      <c r="E592" s="12"/>
      <c r="F592" s="28" t="s">
        <v>209</v>
      </c>
      <c r="G592" s="28" t="s">
        <v>3050</v>
      </c>
      <c r="H592" s="12" t="s">
        <v>3051</v>
      </c>
      <c r="I592" s="12" t="s">
        <v>53</v>
      </c>
      <c r="J592" s="12" t="s">
        <v>54</v>
      </c>
      <c r="K592" s="12" t="s">
        <v>228</v>
      </c>
      <c r="L592" s="12" t="s">
        <v>198</v>
      </c>
      <c r="M592" s="12" t="s">
        <v>3048</v>
      </c>
      <c r="N592" s="12" t="s">
        <v>3049</v>
      </c>
      <c r="O592" s="12" t="s">
        <v>873</v>
      </c>
      <c r="P592" s="12"/>
      <c r="Q592" s="12"/>
      <c r="R592" s="12" t="s">
        <v>4099</v>
      </c>
      <c r="S592" s="12"/>
      <c r="T592" s="12" t="s">
        <v>4100</v>
      </c>
    </row>
    <row r="593" spans="1:20" x14ac:dyDescent="0.35">
      <c r="A593" s="12" t="s">
        <v>3052</v>
      </c>
      <c r="B593" s="12" t="s">
        <v>3053</v>
      </c>
      <c r="C593" s="12" t="s">
        <v>131</v>
      </c>
      <c r="D593" s="12"/>
      <c r="E593" s="12" t="s">
        <v>2414</v>
      </c>
      <c r="F593" s="28" t="s">
        <v>209</v>
      </c>
      <c r="G593" s="28" t="s">
        <v>3056</v>
      </c>
      <c r="H593" s="12" t="s">
        <v>3057</v>
      </c>
      <c r="I593" s="12" t="s">
        <v>81</v>
      </c>
      <c r="J593" s="12" t="s">
        <v>82</v>
      </c>
      <c r="K593" s="12" t="s">
        <v>308</v>
      </c>
      <c r="L593" s="12" t="s">
        <v>259</v>
      </c>
      <c r="M593" s="12" t="s">
        <v>3054</v>
      </c>
      <c r="N593" s="12" t="s">
        <v>3055</v>
      </c>
      <c r="O593" s="12" t="s">
        <v>1165</v>
      </c>
      <c r="P593" s="12" t="s">
        <v>3325</v>
      </c>
      <c r="Q593" s="12" t="s">
        <v>4101</v>
      </c>
      <c r="R593" s="12"/>
      <c r="S593" s="12" t="s">
        <v>4102</v>
      </c>
      <c r="T593" s="12" t="s">
        <v>4103</v>
      </c>
    </row>
    <row r="594" spans="1:20" ht="28" x14ac:dyDescent="0.35">
      <c r="A594" s="12" t="s">
        <v>3058</v>
      </c>
      <c r="B594" s="12" t="s">
        <v>3059</v>
      </c>
      <c r="C594" s="12" t="s">
        <v>131</v>
      </c>
      <c r="D594" s="12"/>
      <c r="E594" s="12"/>
      <c r="F594" s="28" t="s">
        <v>209</v>
      </c>
      <c r="G594" s="28" t="s">
        <v>3064</v>
      </c>
      <c r="H594" s="12" t="s">
        <v>3065</v>
      </c>
      <c r="I594" s="12" t="s">
        <v>3060</v>
      </c>
      <c r="J594" s="12" t="s">
        <v>3061</v>
      </c>
      <c r="K594" s="12" t="s">
        <v>331</v>
      </c>
      <c r="L594" s="12" t="s">
        <v>239</v>
      </c>
      <c r="M594" s="12" t="s">
        <v>3062</v>
      </c>
      <c r="N594" s="12" t="s">
        <v>3063</v>
      </c>
      <c r="O594" s="12" t="s">
        <v>1632</v>
      </c>
      <c r="P594" s="12"/>
      <c r="Q594" s="12"/>
      <c r="R594" s="12"/>
      <c r="S594" s="12" t="s">
        <v>4104</v>
      </c>
      <c r="T594" s="12" t="s">
        <v>4105</v>
      </c>
    </row>
    <row r="595" spans="1:20" x14ac:dyDescent="0.35">
      <c r="A595" s="12" t="s">
        <v>3066</v>
      </c>
      <c r="B595" s="12" t="s">
        <v>3067</v>
      </c>
      <c r="C595" s="12" t="s">
        <v>131</v>
      </c>
      <c r="D595" s="12"/>
      <c r="E595" s="12"/>
      <c r="F595" s="28" t="s">
        <v>209</v>
      </c>
      <c r="G595" s="28" t="s">
        <v>3068</v>
      </c>
      <c r="H595" s="12" t="s">
        <v>3069</v>
      </c>
      <c r="I595" s="12" t="s">
        <v>63</v>
      </c>
      <c r="J595" s="12" t="s">
        <v>64</v>
      </c>
      <c r="K595" s="12" t="s">
        <v>228</v>
      </c>
      <c r="L595" s="12" t="s">
        <v>198</v>
      </c>
      <c r="M595" s="12" t="s">
        <v>1723</v>
      </c>
      <c r="N595" s="12" t="s">
        <v>1724</v>
      </c>
      <c r="O595" s="12" t="s">
        <v>1678</v>
      </c>
      <c r="P595" s="12"/>
      <c r="Q595" s="12"/>
      <c r="R595" s="12"/>
      <c r="S595" s="12"/>
      <c r="T595" s="12" t="s">
        <v>4106</v>
      </c>
    </row>
    <row r="596" spans="1:20" x14ac:dyDescent="0.35">
      <c r="A596" s="12" t="s">
        <v>3070</v>
      </c>
      <c r="B596" s="12" t="s">
        <v>3071</v>
      </c>
      <c r="C596" s="12" t="s">
        <v>131</v>
      </c>
      <c r="D596" s="12"/>
      <c r="E596" s="12"/>
      <c r="F596" s="28" t="s">
        <v>209</v>
      </c>
      <c r="G596" s="28" t="s">
        <v>3075</v>
      </c>
      <c r="H596" s="12" t="s">
        <v>3076</v>
      </c>
      <c r="I596" s="12" t="s">
        <v>83</v>
      </c>
      <c r="J596" s="12" t="s">
        <v>84</v>
      </c>
      <c r="K596" s="12" t="s">
        <v>228</v>
      </c>
      <c r="L596" s="12" t="s">
        <v>198</v>
      </c>
      <c r="M596" s="12" t="s">
        <v>3072</v>
      </c>
      <c r="N596" s="12" t="s">
        <v>3073</v>
      </c>
      <c r="O596" s="12" t="s">
        <v>3074</v>
      </c>
      <c r="P596" s="12"/>
      <c r="Q596" s="12"/>
      <c r="R596" s="12"/>
      <c r="S596" s="12" t="s">
        <v>4107</v>
      </c>
      <c r="T596" s="12" t="s">
        <v>4108</v>
      </c>
    </row>
    <row r="597" spans="1:20" ht="28" x14ac:dyDescent="0.35">
      <c r="A597" s="12" t="s">
        <v>3077</v>
      </c>
      <c r="B597" s="12" t="s">
        <v>3078</v>
      </c>
      <c r="C597" s="12" t="s">
        <v>131</v>
      </c>
      <c r="D597" s="12"/>
      <c r="E597" s="12"/>
      <c r="F597" s="28" t="s">
        <v>209</v>
      </c>
      <c r="G597" s="28" t="s">
        <v>3079</v>
      </c>
      <c r="H597" s="12" t="s">
        <v>3080</v>
      </c>
      <c r="I597" s="12" t="s">
        <v>59</v>
      </c>
      <c r="J597" s="12" t="s">
        <v>60</v>
      </c>
      <c r="K597" s="12" t="s">
        <v>228</v>
      </c>
      <c r="L597" s="12" t="s">
        <v>198</v>
      </c>
      <c r="M597" s="12" t="s">
        <v>2845</v>
      </c>
      <c r="N597" s="12" t="s">
        <v>2846</v>
      </c>
      <c r="O597" s="12" t="s">
        <v>2317</v>
      </c>
      <c r="P597" s="12"/>
      <c r="Q597" s="12"/>
      <c r="R597" s="12"/>
      <c r="S597" s="12" t="s">
        <v>4109</v>
      </c>
      <c r="T597" s="12" t="s">
        <v>3441</v>
      </c>
    </row>
    <row r="598" spans="1:20" ht="28" x14ac:dyDescent="0.35">
      <c r="A598" s="12" t="s">
        <v>3081</v>
      </c>
      <c r="B598" s="12" t="s">
        <v>3082</v>
      </c>
      <c r="C598" s="12" t="s">
        <v>23</v>
      </c>
      <c r="D598" s="12"/>
      <c r="E598" s="12"/>
      <c r="F598" s="28" t="s">
        <v>209</v>
      </c>
      <c r="G598" s="28" t="s">
        <v>3087</v>
      </c>
      <c r="H598" s="12" t="s">
        <v>3088</v>
      </c>
      <c r="I598" s="12" t="s">
        <v>3083</v>
      </c>
      <c r="J598" s="12" t="s">
        <v>3084</v>
      </c>
      <c r="K598" s="12" t="s">
        <v>331</v>
      </c>
      <c r="L598" s="12" t="s">
        <v>239</v>
      </c>
      <c r="M598" s="12" t="s">
        <v>3085</v>
      </c>
      <c r="N598" s="12" t="s">
        <v>3086</v>
      </c>
      <c r="O598" s="12" t="s">
        <v>234</v>
      </c>
      <c r="P598" s="12"/>
      <c r="Q598" s="12"/>
      <c r="R598" s="12"/>
      <c r="S598" s="12"/>
      <c r="T598" s="12" t="s">
        <v>4110</v>
      </c>
    </row>
    <row r="599" spans="1:20" ht="56" x14ac:dyDescent="0.35">
      <c r="A599" s="12" t="s">
        <v>3089</v>
      </c>
      <c r="B599" s="12" t="s">
        <v>3090</v>
      </c>
      <c r="C599" s="12" t="s">
        <v>23</v>
      </c>
      <c r="D599" s="12"/>
      <c r="E599" s="12"/>
      <c r="F599" s="28" t="s">
        <v>3095</v>
      </c>
      <c r="G599" s="28" t="s">
        <v>3096</v>
      </c>
      <c r="H599" s="12" t="s">
        <v>3097</v>
      </c>
      <c r="I599" s="12" t="s">
        <v>3091</v>
      </c>
      <c r="J599" s="12" t="s">
        <v>3092</v>
      </c>
      <c r="K599" s="12" t="s">
        <v>308</v>
      </c>
      <c r="L599" s="12" t="s">
        <v>259</v>
      </c>
      <c r="M599" s="12" t="s">
        <v>3093</v>
      </c>
      <c r="N599" s="12" t="s">
        <v>3094</v>
      </c>
      <c r="O599" s="12" t="s">
        <v>331</v>
      </c>
      <c r="P599" s="12"/>
      <c r="Q599" s="12"/>
      <c r="R599" s="12"/>
      <c r="S599" s="12" t="s">
        <v>4111</v>
      </c>
      <c r="T599" s="12" t="s">
        <v>4112</v>
      </c>
    </row>
    <row r="600" spans="1:20" x14ac:dyDescent="0.35">
      <c r="A600" s="12" t="s">
        <v>3098</v>
      </c>
      <c r="B600" s="12" t="s">
        <v>3099</v>
      </c>
      <c r="C600" s="12" t="s">
        <v>23</v>
      </c>
      <c r="D600" s="12"/>
      <c r="E600" s="12"/>
      <c r="F600" s="28" t="s">
        <v>3104</v>
      </c>
      <c r="G600" s="28" t="s">
        <v>3105</v>
      </c>
      <c r="H600" s="12"/>
      <c r="I600" s="12" t="s">
        <v>3100</v>
      </c>
      <c r="J600" s="12" t="s">
        <v>3101</v>
      </c>
      <c r="K600" s="12" t="s">
        <v>331</v>
      </c>
      <c r="L600" s="12" t="s">
        <v>239</v>
      </c>
      <c r="M600" s="12" t="s">
        <v>3102</v>
      </c>
      <c r="N600" s="12" t="s">
        <v>3103</v>
      </c>
      <c r="O600" s="12" t="s">
        <v>341</v>
      </c>
      <c r="P600" s="12"/>
      <c r="Q600" s="12"/>
      <c r="R600" s="12"/>
      <c r="S600" s="12"/>
      <c r="T600" s="12" t="s">
        <v>4113</v>
      </c>
    </row>
    <row r="601" spans="1:20" ht="56" x14ac:dyDescent="0.35">
      <c r="A601" s="12" t="s">
        <v>3106</v>
      </c>
      <c r="B601" s="12" t="s">
        <v>3107</v>
      </c>
      <c r="C601" s="12" t="s">
        <v>23</v>
      </c>
      <c r="D601" s="12"/>
      <c r="E601" s="12"/>
      <c r="F601" s="28" t="s">
        <v>3095</v>
      </c>
      <c r="G601" s="28" t="s">
        <v>3110</v>
      </c>
      <c r="H601" s="12" t="s">
        <v>3111</v>
      </c>
      <c r="I601" s="12" t="s">
        <v>3108</v>
      </c>
      <c r="J601" s="12" t="s">
        <v>3109</v>
      </c>
      <c r="K601" s="12" t="s">
        <v>308</v>
      </c>
      <c r="L601" s="12" t="s">
        <v>259</v>
      </c>
      <c r="M601" s="12" t="s">
        <v>2410</v>
      </c>
      <c r="N601" s="12" t="s">
        <v>2411</v>
      </c>
      <c r="O601" s="12" t="s">
        <v>409</v>
      </c>
      <c r="P601" s="12"/>
      <c r="Q601" s="12"/>
      <c r="R601" s="12"/>
      <c r="S601" s="12" t="s">
        <v>4114</v>
      </c>
      <c r="T601" s="12" t="s">
        <v>4115</v>
      </c>
    </row>
    <row r="602" spans="1:20" ht="28" x14ac:dyDescent="0.35">
      <c r="A602" s="12" t="s">
        <v>3112</v>
      </c>
      <c r="B602" s="12" t="s">
        <v>3113</v>
      </c>
      <c r="C602" s="12" t="s">
        <v>23</v>
      </c>
      <c r="D602" s="12"/>
      <c r="E602" s="12"/>
      <c r="F602" s="28" t="s">
        <v>209</v>
      </c>
      <c r="G602" s="28" t="s">
        <v>3118</v>
      </c>
      <c r="H602" s="12" t="s">
        <v>3119</v>
      </c>
      <c r="I602" s="12" t="s">
        <v>3114</v>
      </c>
      <c r="J602" s="12" t="s">
        <v>3115</v>
      </c>
      <c r="K602" s="12" t="s">
        <v>331</v>
      </c>
      <c r="L602" s="12" t="s">
        <v>239</v>
      </c>
      <c r="M602" s="12" t="s">
        <v>3116</v>
      </c>
      <c r="N602" s="12" t="s">
        <v>3117</v>
      </c>
      <c r="O602" s="12" t="s">
        <v>430</v>
      </c>
      <c r="P602" s="12"/>
      <c r="Q602" s="12"/>
      <c r="R602" s="12"/>
      <c r="S602" s="12"/>
      <c r="T602" s="12" t="s">
        <v>4116</v>
      </c>
    </row>
    <row r="603" spans="1:20" ht="126" x14ac:dyDescent="0.35">
      <c r="A603" s="12" t="s">
        <v>3120</v>
      </c>
      <c r="B603" s="12" t="s">
        <v>3121</v>
      </c>
      <c r="C603" s="12" t="s">
        <v>23</v>
      </c>
      <c r="D603" s="12"/>
      <c r="E603" s="12"/>
      <c r="F603" s="28" t="s">
        <v>3095</v>
      </c>
      <c r="G603" s="28" t="s">
        <v>3126</v>
      </c>
      <c r="H603" s="12" t="s">
        <v>3127</v>
      </c>
      <c r="I603" s="12" t="s">
        <v>3122</v>
      </c>
      <c r="J603" s="12" t="s">
        <v>3123</v>
      </c>
      <c r="K603" s="12" t="s">
        <v>457</v>
      </c>
      <c r="L603" s="12" t="s">
        <v>1961</v>
      </c>
      <c r="M603" s="12" t="s">
        <v>3124</v>
      </c>
      <c r="N603" s="12" t="s">
        <v>3125</v>
      </c>
      <c r="O603" s="12" t="s">
        <v>575</v>
      </c>
      <c r="P603" s="12"/>
      <c r="Q603" s="12"/>
      <c r="R603" s="12"/>
      <c r="S603" s="12" t="s">
        <v>4117</v>
      </c>
      <c r="T603" s="12" t="s">
        <v>3286</v>
      </c>
    </row>
    <row r="604" spans="1:20" ht="42" x14ac:dyDescent="0.35">
      <c r="A604" s="12" t="s">
        <v>3128</v>
      </c>
      <c r="B604" s="12" t="s">
        <v>3129</v>
      </c>
      <c r="C604" s="12" t="s">
        <v>23</v>
      </c>
      <c r="D604" s="12"/>
      <c r="E604" s="12"/>
      <c r="F604" s="28" t="s">
        <v>3095</v>
      </c>
      <c r="G604" s="28" t="s">
        <v>3130</v>
      </c>
      <c r="H604" s="12" t="s">
        <v>3131</v>
      </c>
      <c r="I604" s="12" t="s">
        <v>3091</v>
      </c>
      <c r="J604" s="12" t="s">
        <v>3092</v>
      </c>
      <c r="K604" s="12" t="s">
        <v>228</v>
      </c>
      <c r="L604" s="12" t="s">
        <v>198</v>
      </c>
      <c r="M604" s="12" t="s">
        <v>2460</v>
      </c>
      <c r="N604" s="12" t="s">
        <v>2461</v>
      </c>
      <c r="O604" s="12" t="s">
        <v>705</v>
      </c>
      <c r="P604" s="12"/>
      <c r="Q604" s="12"/>
      <c r="R604" s="12"/>
      <c r="S604" s="12" t="s">
        <v>4118</v>
      </c>
      <c r="T604" s="12" t="s">
        <v>3296</v>
      </c>
    </row>
    <row r="605" spans="1:20" ht="126" x14ac:dyDescent="0.35">
      <c r="A605" s="12" t="s">
        <v>3132</v>
      </c>
      <c r="B605" s="12" t="s">
        <v>3133</v>
      </c>
      <c r="C605" s="12" t="s">
        <v>23</v>
      </c>
      <c r="D605" s="12"/>
      <c r="E605" s="12"/>
      <c r="F605" s="28" t="s">
        <v>3095</v>
      </c>
      <c r="G605" s="28" t="s">
        <v>3138</v>
      </c>
      <c r="H605" s="12" t="s">
        <v>3139</v>
      </c>
      <c r="I605" s="12" t="s">
        <v>3134</v>
      </c>
      <c r="J605" s="12" t="s">
        <v>3135</v>
      </c>
      <c r="K605" s="12" t="s">
        <v>331</v>
      </c>
      <c r="L605" s="12" t="s">
        <v>239</v>
      </c>
      <c r="M605" s="12" t="s">
        <v>3136</v>
      </c>
      <c r="N605" s="12" t="s">
        <v>3137</v>
      </c>
      <c r="O605" s="12" t="s">
        <v>806</v>
      </c>
      <c r="P605" s="12"/>
      <c r="Q605" s="12"/>
      <c r="R605" s="12"/>
      <c r="S605" s="12" t="s">
        <v>4119</v>
      </c>
      <c r="T605" s="12" t="s">
        <v>4120</v>
      </c>
    </row>
    <row r="606" spans="1:20" ht="28" x14ac:dyDescent="0.35">
      <c r="A606" s="12" t="s">
        <v>3140</v>
      </c>
      <c r="B606" s="12" t="s">
        <v>3141</v>
      </c>
      <c r="C606" s="12" t="s">
        <v>23</v>
      </c>
      <c r="D606" s="12"/>
      <c r="E606" s="12"/>
      <c r="F606" s="28" t="s">
        <v>209</v>
      </c>
      <c r="G606" s="28" t="s">
        <v>3145</v>
      </c>
      <c r="H606" s="12" t="s">
        <v>3146</v>
      </c>
      <c r="I606" s="12" t="s">
        <v>3083</v>
      </c>
      <c r="J606" s="12" t="s">
        <v>3084</v>
      </c>
      <c r="K606" s="12" t="s">
        <v>331</v>
      </c>
      <c r="L606" s="12" t="s">
        <v>239</v>
      </c>
      <c r="M606" s="12" t="s">
        <v>3142</v>
      </c>
      <c r="N606" s="12" t="s">
        <v>3143</v>
      </c>
      <c r="O606" s="12" t="s">
        <v>3144</v>
      </c>
      <c r="P606" s="12"/>
      <c r="Q606" s="12"/>
      <c r="R606" s="12"/>
      <c r="S606" s="12"/>
      <c r="T606" s="12" t="s">
        <v>4121</v>
      </c>
    </row>
    <row r="607" spans="1:20" x14ac:dyDescent="0.35">
      <c r="A607" s="12" t="s">
        <v>3147</v>
      </c>
      <c r="B607" s="12" t="s">
        <v>3148</v>
      </c>
      <c r="C607" s="12" t="s">
        <v>23</v>
      </c>
      <c r="D607" s="12"/>
      <c r="E607" s="12" t="s">
        <v>2414</v>
      </c>
      <c r="F607" s="28" t="s">
        <v>3104</v>
      </c>
      <c r="G607" s="28" t="s">
        <v>3149</v>
      </c>
      <c r="H607" s="12"/>
      <c r="I607" s="12" t="s">
        <v>3091</v>
      </c>
      <c r="J607" s="12" t="s">
        <v>3092</v>
      </c>
      <c r="K607" s="12" t="s">
        <v>331</v>
      </c>
      <c r="L607" s="12" t="s">
        <v>239</v>
      </c>
      <c r="M607" s="12" t="s">
        <v>2697</v>
      </c>
      <c r="N607" s="12" t="s">
        <v>2698</v>
      </c>
      <c r="O607" s="12" t="s">
        <v>1419</v>
      </c>
      <c r="P607" s="12" t="s">
        <v>3325</v>
      </c>
      <c r="Q607" s="12" t="s">
        <v>3995</v>
      </c>
      <c r="R607" s="12"/>
      <c r="S607" s="12"/>
      <c r="T607" s="12" t="s">
        <v>4122</v>
      </c>
    </row>
    <row r="608" spans="1:20" x14ac:dyDescent="0.35">
      <c r="A608" s="12" t="s">
        <v>3150</v>
      </c>
      <c r="B608" s="12" t="s">
        <v>3151</v>
      </c>
      <c r="C608" s="12" t="s">
        <v>23</v>
      </c>
      <c r="D608" s="12"/>
      <c r="E608" s="12"/>
      <c r="F608" s="28" t="s">
        <v>3104</v>
      </c>
      <c r="G608" s="28" t="s">
        <v>3154</v>
      </c>
      <c r="H608" s="12"/>
      <c r="I608" s="12" t="s">
        <v>3152</v>
      </c>
      <c r="J608" s="12" t="s">
        <v>3153</v>
      </c>
      <c r="K608" s="12" t="s">
        <v>430</v>
      </c>
      <c r="L608" s="12" t="s">
        <v>386</v>
      </c>
      <c r="M608" s="12" t="s">
        <v>2697</v>
      </c>
      <c r="N608" s="12" t="s">
        <v>2698</v>
      </c>
      <c r="O608" s="12" t="s">
        <v>1419</v>
      </c>
      <c r="P608" s="12" t="s">
        <v>3330</v>
      </c>
      <c r="Q608" s="12" t="s">
        <v>4123</v>
      </c>
      <c r="R608" s="12"/>
      <c r="S608" s="12"/>
      <c r="T608" s="12" t="s">
        <v>3686</v>
      </c>
    </row>
    <row r="609" spans="1:20" ht="70" x14ac:dyDescent="0.35">
      <c r="A609" s="12" t="s">
        <v>3155</v>
      </c>
      <c r="B609" s="12" t="s">
        <v>3156</v>
      </c>
      <c r="C609" s="12" t="s">
        <v>23</v>
      </c>
      <c r="D609" s="12"/>
      <c r="E609" s="12"/>
      <c r="F609" s="28" t="s">
        <v>3095</v>
      </c>
      <c r="G609" s="28" t="s">
        <v>3159</v>
      </c>
      <c r="H609" s="12" t="s">
        <v>3160</v>
      </c>
      <c r="I609" s="12" t="s">
        <v>3157</v>
      </c>
      <c r="J609" s="12" t="s">
        <v>3158</v>
      </c>
      <c r="K609" s="12" t="s">
        <v>331</v>
      </c>
      <c r="L609" s="12" t="s">
        <v>239</v>
      </c>
      <c r="M609" s="12" t="s">
        <v>2697</v>
      </c>
      <c r="N609" s="12" t="s">
        <v>2698</v>
      </c>
      <c r="O609" s="12" t="s">
        <v>1419</v>
      </c>
      <c r="P609" s="12"/>
      <c r="Q609" s="12"/>
      <c r="R609" s="12"/>
      <c r="S609" s="12" t="s">
        <v>4124</v>
      </c>
      <c r="T609" s="12" t="s">
        <v>4125</v>
      </c>
    </row>
    <row r="610" spans="1:20" x14ac:dyDescent="0.35">
      <c r="A610" s="12" t="s">
        <v>3161</v>
      </c>
      <c r="B610" s="12" t="s">
        <v>3162</v>
      </c>
      <c r="C610" s="12" t="s">
        <v>23</v>
      </c>
      <c r="D610" s="12"/>
      <c r="E610" s="12"/>
      <c r="F610" s="28" t="s">
        <v>3104</v>
      </c>
      <c r="G610" s="28" t="s">
        <v>3165</v>
      </c>
      <c r="H610" s="12"/>
      <c r="I610" s="12" t="s">
        <v>3163</v>
      </c>
      <c r="J610" s="12" t="s">
        <v>3164</v>
      </c>
      <c r="K610" s="12" t="s">
        <v>430</v>
      </c>
      <c r="L610" s="12" t="s">
        <v>386</v>
      </c>
      <c r="M610" s="12" t="s">
        <v>2697</v>
      </c>
      <c r="N610" s="12" t="s">
        <v>2698</v>
      </c>
      <c r="O610" s="12" t="s">
        <v>1419</v>
      </c>
      <c r="P610" s="12"/>
      <c r="Q610" s="12"/>
      <c r="R610" s="12"/>
      <c r="S610" s="12"/>
      <c r="T610" s="12" t="s">
        <v>4126</v>
      </c>
    </row>
    <row r="611" spans="1:20" x14ac:dyDescent="0.35">
      <c r="A611" s="12" t="s">
        <v>3166</v>
      </c>
      <c r="B611" s="12" t="s">
        <v>3167</v>
      </c>
      <c r="C611" s="12" t="s">
        <v>23</v>
      </c>
      <c r="D611" s="12"/>
      <c r="E611" s="12"/>
      <c r="F611" s="28" t="s">
        <v>3104</v>
      </c>
      <c r="G611" s="28" t="s">
        <v>3171</v>
      </c>
      <c r="H611" s="12"/>
      <c r="I611" s="12" t="s">
        <v>3168</v>
      </c>
      <c r="J611" s="12" t="s">
        <v>3169</v>
      </c>
      <c r="K611" s="12" t="s">
        <v>228</v>
      </c>
      <c r="L611" s="12" t="s">
        <v>198</v>
      </c>
      <c r="M611" s="12" t="s">
        <v>2697</v>
      </c>
      <c r="N611" s="12" t="s">
        <v>3170</v>
      </c>
      <c r="O611" s="12" t="s">
        <v>1419</v>
      </c>
      <c r="P611" s="12"/>
      <c r="Q611" s="12"/>
      <c r="R611" s="12"/>
      <c r="S611" s="12"/>
      <c r="T611" s="12" t="s">
        <v>4127</v>
      </c>
    </row>
    <row r="612" spans="1:20" ht="28" x14ac:dyDescent="0.35">
      <c r="A612" s="12" t="s">
        <v>3172</v>
      </c>
      <c r="B612" s="12" t="s">
        <v>3173</v>
      </c>
      <c r="C612" s="12" t="s">
        <v>23</v>
      </c>
      <c r="D612" s="12"/>
      <c r="E612" s="12"/>
      <c r="F612" s="28" t="s">
        <v>3095</v>
      </c>
      <c r="G612" s="28" t="s">
        <v>3174</v>
      </c>
      <c r="H612" s="12" t="s">
        <v>3175</v>
      </c>
      <c r="I612" s="12" t="s">
        <v>3168</v>
      </c>
      <c r="J612" s="12" t="s">
        <v>3169</v>
      </c>
      <c r="K612" s="12" t="s">
        <v>228</v>
      </c>
      <c r="L612" s="12" t="s">
        <v>198</v>
      </c>
      <c r="M612" s="12" t="s">
        <v>2697</v>
      </c>
      <c r="N612" s="12" t="s">
        <v>2698</v>
      </c>
      <c r="O612" s="12" t="s">
        <v>1419</v>
      </c>
      <c r="P612" s="12"/>
      <c r="Q612" s="12"/>
      <c r="R612" s="12"/>
      <c r="S612" s="12" t="s">
        <v>4128</v>
      </c>
      <c r="T612" s="12" t="s">
        <v>4129</v>
      </c>
    </row>
    <row r="613" spans="1:20" x14ac:dyDescent="0.35">
      <c r="A613" s="12" t="s">
        <v>3176</v>
      </c>
      <c r="B613" s="12" t="s">
        <v>3177</v>
      </c>
      <c r="C613" s="12" t="s">
        <v>23</v>
      </c>
      <c r="D613" s="12"/>
      <c r="E613" s="12"/>
      <c r="F613" s="28" t="s">
        <v>3104</v>
      </c>
      <c r="G613" s="28" t="s">
        <v>3178</v>
      </c>
      <c r="H613" s="12"/>
      <c r="I613" s="12" t="s">
        <v>91</v>
      </c>
      <c r="J613" s="12" t="s">
        <v>92</v>
      </c>
      <c r="K613" s="12" t="s">
        <v>228</v>
      </c>
      <c r="L613" s="12" t="s">
        <v>198</v>
      </c>
      <c r="M613" s="12" t="s">
        <v>2697</v>
      </c>
      <c r="N613" s="12" t="s">
        <v>2698</v>
      </c>
      <c r="O613" s="12" t="s">
        <v>1419</v>
      </c>
      <c r="P613" s="12"/>
      <c r="Q613" s="12"/>
      <c r="R613" s="12"/>
      <c r="S613" s="12"/>
      <c r="T613" s="12" t="s">
        <v>4130</v>
      </c>
    </row>
    <row r="614" spans="1:20" x14ac:dyDescent="0.35">
      <c r="A614" s="12" t="s">
        <v>3179</v>
      </c>
      <c r="B614" s="12" t="s">
        <v>3180</v>
      </c>
      <c r="C614" s="12" t="s">
        <v>23</v>
      </c>
      <c r="D614" s="12"/>
      <c r="E614" s="12"/>
      <c r="F614" s="28" t="s">
        <v>3104</v>
      </c>
      <c r="G614" s="28" t="s">
        <v>3185</v>
      </c>
      <c r="H614" s="12"/>
      <c r="I614" s="12" t="s">
        <v>3181</v>
      </c>
      <c r="J614" s="12" t="s">
        <v>3182</v>
      </c>
      <c r="K614" s="12" t="s">
        <v>308</v>
      </c>
      <c r="L614" s="12" t="s">
        <v>259</v>
      </c>
      <c r="M614" s="12" t="s">
        <v>3183</v>
      </c>
      <c r="N614" s="12" t="s">
        <v>3184</v>
      </c>
      <c r="O614" s="12" t="s">
        <v>1632</v>
      </c>
      <c r="P614" s="12"/>
      <c r="Q614" s="12"/>
      <c r="R614" s="12"/>
      <c r="S614" s="12"/>
      <c r="T614" s="12" t="s">
        <v>4131</v>
      </c>
    </row>
    <row r="615" spans="1:20" x14ac:dyDescent="0.35">
      <c r="A615" s="12" t="s">
        <v>3186</v>
      </c>
      <c r="B615" s="12" t="s">
        <v>3187</v>
      </c>
      <c r="C615" s="12" t="s">
        <v>23</v>
      </c>
      <c r="D615" s="12"/>
      <c r="E615" s="12"/>
      <c r="F615" s="28" t="s">
        <v>3104</v>
      </c>
      <c r="G615" s="28" t="s">
        <v>3190</v>
      </c>
      <c r="H615" s="12"/>
      <c r="I615" s="12" t="s">
        <v>3188</v>
      </c>
      <c r="J615" s="12" t="s">
        <v>3189</v>
      </c>
      <c r="K615" s="12" t="s">
        <v>308</v>
      </c>
      <c r="L615" s="12" t="s">
        <v>259</v>
      </c>
      <c r="M615" s="12" t="s">
        <v>1723</v>
      </c>
      <c r="N615" s="12" t="s">
        <v>1724</v>
      </c>
      <c r="O615" s="12" t="s">
        <v>1678</v>
      </c>
      <c r="P615" s="12"/>
      <c r="Q615" s="12"/>
      <c r="R615" s="12"/>
      <c r="S615" s="12"/>
      <c r="T615" s="12" t="s">
        <v>4132</v>
      </c>
    </row>
    <row r="616" spans="1:20" ht="126" x14ac:dyDescent="0.35">
      <c r="A616" s="12" t="s">
        <v>3191</v>
      </c>
      <c r="B616" s="12" t="s">
        <v>3192</v>
      </c>
      <c r="C616" s="12" t="s">
        <v>23</v>
      </c>
      <c r="D616" s="12"/>
      <c r="E616" s="12"/>
      <c r="F616" s="28" t="s">
        <v>3095</v>
      </c>
      <c r="G616" s="28" t="s">
        <v>3195</v>
      </c>
      <c r="H616" s="12" t="s">
        <v>3196</v>
      </c>
      <c r="I616" s="12" t="s">
        <v>3091</v>
      </c>
      <c r="J616" s="12" t="s">
        <v>3092</v>
      </c>
      <c r="K616" s="12" t="s">
        <v>331</v>
      </c>
      <c r="L616" s="12" t="s">
        <v>239</v>
      </c>
      <c r="M616" s="12" t="s">
        <v>3193</v>
      </c>
      <c r="N616" s="12" t="s">
        <v>3194</v>
      </c>
      <c r="O616" s="12" t="s">
        <v>1678</v>
      </c>
      <c r="P616" s="12"/>
      <c r="Q616" s="12"/>
      <c r="R616" s="12"/>
      <c r="S616" s="12" t="s">
        <v>4133</v>
      </c>
      <c r="T616" s="12" t="s">
        <v>4115</v>
      </c>
    </row>
    <row r="617" spans="1:20" ht="98" x14ac:dyDescent="0.35">
      <c r="A617" s="12" t="s">
        <v>3197</v>
      </c>
      <c r="B617" s="12" t="s">
        <v>3198</v>
      </c>
      <c r="C617" s="12" t="s">
        <v>23</v>
      </c>
      <c r="D617" s="12"/>
      <c r="E617" s="12"/>
      <c r="F617" s="28" t="s">
        <v>3095</v>
      </c>
      <c r="G617" s="28" t="s">
        <v>3201</v>
      </c>
      <c r="H617" s="12" t="s">
        <v>3202</v>
      </c>
      <c r="I617" s="12" t="s">
        <v>3199</v>
      </c>
      <c r="J617" s="12" t="s">
        <v>3200</v>
      </c>
      <c r="K617" s="12" t="s">
        <v>331</v>
      </c>
      <c r="L617" s="12" t="s">
        <v>239</v>
      </c>
      <c r="M617" s="12" t="s">
        <v>1798</v>
      </c>
      <c r="N617" s="12" t="s">
        <v>1805</v>
      </c>
      <c r="O617" s="12" t="s">
        <v>1800</v>
      </c>
      <c r="P617" s="12"/>
      <c r="Q617" s="12"/>
      <c r="R617" s="12"/>
      <c r="S617" s="12" t="s">
        <v>4134</v>
      </c>
      <c r="T617" s="12" t="s">
        <v>4135</v>
      </c>
    </row>
    <row r="618" spans="1:20" x14ac:dyDescent="0.35">
      <c r="A618" s="12" t="s">
        <v>3203</v>
      </c>
      <c r="B618" s="12" t="s">
        <v>3204</v>
      </c>
      <c r="C618" s="12" t="s">
        <v>23</v>
      </c>
      <c r="D618" s="12"/>
      <c r="E618" s="12"/>
      <c r="F618" s="28" t="s">
        <v>3104</v>
      </c>
      <c r="G618" s="28" t="s">
        <v>3208</v>
      </c>
      <c r="H618" s="12"/>
      <c r="I618" s="12" t="s">
        <v>3205</v>
      </c>
      <c r="J618" s="12" t="s">
        <v>3206</v>
      </c>
      <c r="K618" s="12" t="s">
        <v>308</v>
      </c>
      <c r="L618" s="12" t="s">
        <v>259</v>
      </c>
      <c r="M618" s="12" t="s">
        <v>1798</v>
      </c>
      <c r="N618" s="12" t="s">
        <v>3207</v>
      </c>
      <c r="O618" s="12" t="s">
        <v>1800</v>
      </c>
      <c r="P618" s="12"/>
      <c r="Q618" s="12"/>
      <c r="R618" s="12"/>
      <c r="S618" s="12"/>
      <c r="T618" s="12" t="s">
        <v>4136</v>
      </c>
    </row>
    <row r="619" spans="1:20" ht="126" x14ac:dyDescent="0.35">
      <c r="A619" s="12" t="s">
        <v>3209</v>
      </c>
      <c r="B619" s="12" t="s">
        <v>3210</v>
      </c>
      <c r="C619" s="12" t="s">
        <v>23</v>
      </c>
      <c r="D619" s="12"/>
      <c r="E619" s="12"/>
      <c r="F619" s="28" t="s">
        <v>3095</v>
      </c>
      <c r="G619" s="28" t="s">
        <v>3213</v>
      </c>
      <c r="H619" s="12" t="s">
        <v>3214</v>
      </c>
      <c r="I619" s="12" t="s">
        <v>3211</v>
      </c>
      <c r="J619" s="12" t="s">
        <v>3212</v>
      </c>
      <c r="K619" s="12" t="s">
        <v>228</v>
      </c>
      <c r="L619" s="12" t="s">
        <v>198</v>
      </c>
      <c r="M619" s="12" t="s">
        <v>2030</v>
      </c>
      <c r="N619" s="12" t="s">
        <v>2031</v>
      </c>
      <c r="O619" s="12" t="s">
        <v>2021</v>
      </c>
      <c r="P619" s="12"/>
      <c r="Q619" s="12"/>
      <c r="R619" s="12"/>
      <c r="S619" s="12" t="s">
        <v>4137</v>
      </c>
      <c r="T619" s="12" t="s">
        <v>4138</v>
      </c>
    </row>
    <row r="620" spans="1:20" ht="28" x14ac:dyDescent="0.35">
      <c r="A620" s="12" t="s">
        <v>3215</v>
      </c>
      <c r="B620" s="12" t="s">
        <v>3216</v>
      </c>
      <c r="C620" s="12" t="s">
        <v>134</v>
      </c>
      <c r="D620" s="12"/>
      <c r="E620" s="12"/>
      <c r="F620" s="28" t="s">
        <v>216</v>
      </c>
      <c r="G620" s="28" t="s">
        <v>4745</v>
      </c>
      <c r="H620" s="12" t="s">
        <v>4746</v>
      </c>
      <c r="I620" s="12" t="s">
        <v>3217</v>
      </c>
      <c r="J620" s="12" t="s">
        <v>3218</v>
      </c>
      <c r="K620" s="12" t="s">
        <v>228</v>
      </c>
      <c r="L620" s="12" t="s">
        <v>198</v>
      </c>
      <c r="M620" s="12" t="s">
        <v>3219</v>
      </c>
      <c r="N620" s="12" t="s">
        <v>3220</v>
      </c>
      <c r="O620" s="12" t="s">
        <v>409</v>
      </c>
      <c r="P620" s="12"/>
      <c r="Q620" s="12"/>
      <c r="R620" s="12"/>
      <c r="S620" s="12" t="s">
        <v>4139</v>
      </c>
      <c r="T620" s="12" t="s">
        <v>3504</v>
      </c>
    </row>
    <row r="621" spans="1:20" ht="28" x14ac:dyDescent="0.35">
      <c r="A621" s="12" t="s">
        <v>3221</v>
      </c>
      <c r="B621" s="12" t="s">
        <v>3222</v>
      </c>
      <c r="C621" s="12" t="s">
        <v>134</v>
      </c>
      <c r="D621" s="12"/>
      <c r="E621" s="12"/>
      <c r="F621" s="28" t="s">
        <v>216</v>
      </c>
      <c r="G621" s="28" t="s">
        <v>4752</v>
      </c>
      <c r="H621" s="12" t="s">
        <v>4753</v>
      </c>
      <c r="I621" s="12" t="s">
        <v>3006</v>
      </c>
      <c r="J621" s="12" t="s">
        <v>3007</v>
      </c>
      <c r="K621" s="12" t="s">
        <v>457</v>
      </c>
      <c r="L621" s="12" t="s">
        <v>1961</v>
      </c>
      <c r="M621" s="12" t="s">
        <v>1057</v>
      </c>
      <c r="N621" s="12" t="s">
        <v>1058</v>
      </c>
      <c r="O621" s="12" t="s">
        <v>1047</v>
      </c>
      <c r="P621" s="12"/>
      <c r="Q621" s="12"/>
      <c r="R621" s="12"/>
      <c r="S621" s="12"/>
      <c r="T621" s="12" t="s">
        <v>4140</v>
      </c>
    </row>
    <row r="622" spans="1:20" ht="28" x14ac:dyDescent="0.35">
      <c r="A622" s="12" t="s">
        <v>3223</v>
      </c>
      <c r="B622" s="12" t="s">
        <v>3224</v>
      </c>
      <c r="C622" s="12" t="s">
        <v>23</v>
      </c>
      <c r="D622" s="12"/>
      <c r="E622" s="12" t="s">
        <v>2403</v>
      </c>
      <c r="F622" s="28" t="s">
        <v>216</v>
      </c>
      <c r="G622" s="28" t="s">
        <v>4754</v>
      </c>
      <c r="H622" s="12" t="s">
        <v>4755</v>
      </c>
      <c r="I622" s="12" t="s">
        <v>3225</v>
      </c>
      <c r="J622" s="12" t="s">
        <v>3226</v>
      </c>
      <c r="K622" s="12" t="s">
        <v>331</v>
      </c>
      <c r="L622" s="12" t="s">
        <v>239</v>
      </c>
      <c r="M622" s="12" t="s">
        <v>2697</v>
      </c>
      <c r="N622" s="12" t="s">
        <v>2698</v>
      </c>
      <c r="O622" s="12" t="s">
        <v>1419</v>
      </c>
      <c r="P622" s="12" t="s">
        <v>3292</v>
      </c>
      <c r="Q622" s="12" t="s">
        <v>4141</v>
      </c>
      <c r="R622" s="12"/>
      <c r="S622" s="12" t="s">
        <v>4142</v>
      </c>
      <c r="T622" s="12" t="s">
        <v>4143</v>
      </c>
    </row>
    <row r="623" spans="1:20" ht="28" x14ac:dyDescent="0.35">
      <c r="A623" s="12" t="s">
        <v>3227</v>
      </c>
      <c r="B623" s="12" t="s">
        <v>3228</v>
      </c>
      <c r="C623" s="12" t="s">
        <v>134</v>
      </c>
      <c r="D623" s="12"/>
      <c r="E623" s="12"/>
      <c r="F623" s="28" t="s">
        <v>216</v>
      </c>
      <c r="G623" s="28" t="s">
        <v>4756</v>
      </c>
      <c r="H623" s="12" t="s">
        <v>4757</v>
      </c>
      <c r="I623" s="12" t="s">
        <v>77</v>
      </c>
      <c r="J623" s="12" t="s">
        <v>78</v>
      </c>
      <c r="K623" s="12" t="s">
        <v>228</v>
      </c>
      <c r="L623" s="12" t="s">
        <v>198</v>
      </c>
      <c r="M623" s="12" t="s">
        <v>3229</v>
      </c>
      <c r="N623" s="12" t="s">
        <v>3230</v>
      </c>
      <c r="O623" s="12" t="s">
        <v>1602</v>
      </c>
      <c r="P623" s="12"/>
      <c r="Q623" s="12"/>
      <c r="R623" s="12"/>
      <c r="S623" s="12" t="s">
        <v>4144</v>
      </c>
      <c r="T623" s="12" t="s">
        <v>3644</v>
      </c>
    </row>
    <row r="624" spans="1:20" ht="28" x14ac:dyDescent="0.35">
      <c r="A624" s="12" t="s">
        <v>3231</v>
      </c>
      <c r="B624" s="12" t="s">
        <v>3232</v>
      </c>
      <c r="C624" s="12" t="s">
        <v>134</v>
      </c>
      <c r="D624" s="12"/>
      <c r="E624" s="12"/>
      <c r="F624" s="28" t="s">
        <v>216</v>
      </c>
      <c r="G624" s="28" t="s">
        <v>4764</v>
      </c>
      <c r="H624" s="12" t="s">
        <v>4765</v>
      </c>
      <c r="I624" s="12" t="s">
        <v>77</v>
      </c>
      <c r="J624" s="12" t="s">
        <v>78</v>
      </c>
      <c r="K624" s="12" t="s">
        <v>228</v>
      </c>
      <c r="L624" s="12" t="s">
        <v>198</v>
      </c>
      <c r="M624" s="12" t="s">
        <v>1798</v>
      </c>
      <c r="N624" s="12" t="s">
        <v>3233</v>
      </c>
      <c r="O624" s="12" t="s">
        <v>1800</v>
      </c>
      <c r="P624" s="12"/>
      <c r="Q624" s="12"/>
      <c r="R624" s="12"/>
      <c r="S624" s="12" t="s">
        <v>4145</v>
      </c>
      <c r="T624" s="12" t="s">
        <v>4146</v>
      </c>
    </row>
    <row r="625" spans="1:20" ht="28" x14ac:dyDescent="0.35">
      <c r="A625" s="12" t="s">
        <v>3234</v>
      </c>
      <c r="B625" s="12" t="s">
        <v>3235</v>
      </c>
      <c r="C625" s="12" t="s">
        <v>134</v>
      </c>
      <c r="D625" s="12"/>
      <c r="E625" s="12"/>
      <c r="F625" s="28" t="s">
        <v>216</v>
      </c>
      <c r="G625" s="28" t="s">
        <v>4766</v>
      </c>
      <c r="H625" s="12" t="s">
        <v>4767</v>
      </c>
      <c r="I625" s="12" t="s">
        <v>3236</v>
      </c>
      <c r="J625" s="12" t="s">
        <v>3237</v>
      </c>
      <c r="K625" s="12" t="s">
        <v>430</v>
      </c>
      <c r="L625" s="12" t="s">
        <v>386</v>
      </c>
      <c r="M625" s="12" t="s">
        <v>3238</v>
      </c>
      <c r="N625" s="12" t="s">
        <v>3239</v>
      </c>
      <c r="O625" s="12" t="s">
        <v>2131</v>
      </c>
      <c r="P625" s="12"/>
      <c r="Q625" s="12"/>
      <c r="R625" s="12"/>
      <c r="S625" s="12" t="s">
        <v>4147</v>
      </c>
      <c r="T625" s="12" t="s">
        <v>4148</v>
      </c>
    </row>
    <row r="626" spans="1:20" ht="28" x14ac:dyDescent="0.35">
      <c r="A626" s="12" t="s">
        <v>3240</v>
      </c>
      <c r="B626" s="12" t="s">
        <v>3241</v>
      </c>
      <c r="C626" s="12" t="s">
        <v>122</v>
      </c>
      <c r="D626" s="12" t="s">
        <v>34</v>
      </c>
      <c r="E626" s="12"/>
      <c r="F626" s="28" t="s">
        <v>216</v>
      </c>
      <c r="G626" s="28" t="s">
        <v>4739</v>
      </c>
      <c r="H626" s="12" t="s">
        <v>4740</v>
      </c>
      <c r="I626" s="12" t="s">
        <v>3242</v>
      </c>
      <c r="J626" s="12" t="s">
        <v>3243</v>
      </c>
      <c r="K626" s="12" t="s">
        <v>228</v>
      </c>
      <c r="L626" s="12" t="s">
        <v>198</v>
      </c>
      <c r="M626" s="12" t="s">
        <v>2333</v>
      </c>
      <c r="N626" s="12" t="s">
        <v>2334</v>
      </c>
      <c r="O626" s="12" t="s">
        <v>2317</v>
      </c>
      <c r="P626" s="12"/>
      <c r="Q626" s="12"/>
      <c r="R626" s="12"/>
      <c r="S626" s="12"/>
      <c r="T626" s="12" t="s">
        <v>4149</v>
      </c>
    </row>
  </sheetData>
  <autoFilter ref="A1:T626"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Synthèse</vt:lpstr>
      <vt:lpstr>Dispersion NAF</vt:lpstr>
      <vt:lpstr>Test précision NAF</vt:lpstr>
      <vt:lpstr>Méthodologie</vt:lpstr>
      <vt:lpstr>Limites</vt:lpstr>
      <vt:lpstr>Recommandations</vt:lpstr>
      <vt:lpstr>Prospects</vt:lpstr>
      <vt:lpstr>À vérifier et exclus</vt: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Rémi Beccat</cp:lastModifiedBy>
  <dcterms:created xsi:type="dcterms:W3CDTF">2026-09-24T17:08:58Z</dcterms:created>
  <dcterms:modified xsi:type="dcterms:W3CDTF">2026-09-26T21:36:05Z</dcterms:modified>
</cp:coreProperties>
</file>